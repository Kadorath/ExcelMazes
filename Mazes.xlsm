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7cc07c2d4c7d09b/Desktop/Programming/ExcelMazes/"/>
    </mc:Choice>
  </mc:AlternateContent>
  <xr:revisionPtr revIDLastSave="19089" documentId="8_{8121553B-078A-4884-8EB2-1E4C1938FFCA}" xr6:coauthVersionLast="47" xr6:coauthVersionMax="47" xr10:uidLastSave="{D9AEB6A7-AE84-402A-B7FE-E85A2629FFED}"/>
  <bookViews>
    <workbookView xWindow="-98" yWindow="-98" windowWidth="20715" windowHeight="13155" firstSheet="2" activeTab="2" xr2:uid="{00000000-000D-0000-FFFF-FFFF00000000}"/>
  </bookViews>
  <sheets>
    <sheet name="ScareMaze" sheetId="6" r:id="rId1"/>
    <sheet name="BomberMaze" sheetId="2" r:id="rId2"/>
    <sheet name="RPGMaze" sheetId="3" r:id="rId3"/>
  </sheets>
  <functionGroups builtInGroupCount="19"/>
  <definedNames>
    <definedName name="ConnectionMatrix" localSheetId="1">BomberMaze!$AB$5:$AU$24</definedName>
    <definedName name="ConnectionMatrix" localSheetId="2">RPGMaze!$B$5:$AO$44</definedName>
    <definedName name="ConnectionMatrix">ScareMaze!$AB$5:$AU$24</definedName>
    <definedName name="EndCol" localSheetId="0">ScareMaze!$AD$2</definedName>
    <definedName name="EndRow" localSheetId="0">ScareMaze!$AC$2</definedName>
    <definedName name="MazeEditingIsOn" localSheetId="1">BomberMaze!$Y$5</definedName>
    <definedName name="MazeEditingIsOn" localSheetId="2">RPGMaze!$BS$6</definedName>
    <definedName name="MazeEditingIsOn" localSheetId="0">ScareMaze!$Y$5</definedName>
    <definedName name="PreviousCell">ScareMaze!$Y$13</definedName>
    <definedName name="_xlnm.Print_Area" localSheetId="0">ScareMaze!$B$4:$W$25</definedName>
    <definedName name="StartCol" localSheetId="0">ScareMaze!$AD$1</definedName>
    <definedName name="StartRow" localSheetId="0">ScareMaze!$AC$1</definedName>
    <definedName name="TraversingIsOn" localSheetId="2">RPGMaze!$BS$10</definedName>
    <definedName name="TraversingIsOn" localSheetId="0">ScareMaze!$Y$9</definedName>
    <definedName name="TraversingIsOn">ScareMaze!$Y$9</definedName>
    <definedName name="WholeMaze" localSheetId="1">BomberMaze!$C$5:$V$24</definedName>
    <definedName name="WholeMaze" localSheetId="2">RPGMaze!$BV$28:$DI$67</definedName>
    <definedName name="WholeMaze" localSheetId="0">ScareMaze!$C$5:$V$24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45" i="3" l="1"/>
  <c r="AM45" i="3"/>
  <c r="AL45" i="3"/>
  <c r="AK45" i="3"/>
  <c r="AF45" i="3"/>
  <c r="AE45" i="3"/>
  <c r="AD45" i="3"/>
  <c r="AC45" i="3"/>
  <c r="X45" i="3"/>
  <c r="W45" i="3"/>
  <c r="V45" i="3"/>
  <c r="AO4" i="3"/>
  <c r="AO45" i="3" s="1"/>
  <c r="AN4" i="3"/>
  <c r="AM4" i="3"/>
  <c r="AL4" i="3"/>
  <c r="AK4" i="3"/>
  <c r="AJ4" i="3"/>
  <c r="AJ45" i="3" s="1"/>
  <c r="AI4" i="3"/>
  <c r="AI45" i="3" s="1"/>
  <c r="AH4" i="3"/>
  <c r="AH45" i="3" s="1"/>
  <c r="AG4" i="3"/>
  <c r="AG45" i="3" s="1"/>
  <c r="AF4" i="3"/>
  <c r="AE4" i="3"/>
  <c r="AD4" i="3"/>
  <c r="AC4" i="3"/>
  <c r="AB4" i="3"/>
  <c r="AB45" i="3" s="1"/>
  <c r="AA4" i="3"/>
  <c r="AA45" i="3" s="1"/>
  <c r="Z4" i="3"/>
  <c r="Z45" i="3" s="1"/>
  <c r="Y4" i="3"/>
  <c r="Y45" i="3" s="1"/>
  <c r="X4" i="3"/>
  <c r="W4" i="3"/>
  <c r="V4" i="3"/>
  <c r="A44" i="3"/>
  <c r="AP44" i="3" s="1"/>
  <c r="A43" i="3"/>
  <c r="A42" i="3"/>
  <c r="AP42" i="3" s="1"/>
  <c r="A41" i="3"/>
  <c r="AP41" i="3" s="1"/>
  <c r="A40" i="3"/>
  <c r="AP40" i="3" s="1"/>
  <c r="A39" i="3"/>
  <c r="AP39" i="3" s="1"/>
  <c r="A38" i="3"/>
  <c r="AP38" i="3" s="1"/>
  <c r="A37" i="3"/>
  <c r="AP37" i="3" s="1"/>
  <c r="A36" i="3"/>
  <c r="AP36" i="3" s="1"/>
  <c r="A35" i="3"/>
  <c r="AP35" i="3" s="1"/>
  <c r="A34" i="3"/>
  <c r="AP34" i="3" s="1"/>
  <c r="A33" i="3"/>
  <c r="AP33" i="3" s="1"/>
  <c r="A32" i="3"/>
  <c r="AP32" i="3" s="1"/>
  <c r="A31" i="3"/>
  <c r="AP31" i="3" s="1"/>
  <c r="A30" i="3"/>
  <c r="AP30" i="3" s="1"/>
  <c r="A29" i="3"/>
  <c r="AP29" i="3" s="1"/>
  <c r="A28" i="3"/>
  <c r="A27" i="3"/>
  <c r="A26" i="3"/>
  <c r="A25" i="3"/>
  <c r="AP25" i="3" s="1"/>
  <c r="AP43" i="3"/>
  <c r="AP28" i="3"/>
  <c r="AP27" i="3"/>
  <c r="AP26" i="3"/>
  <c r="DJ67" i="3"/>
  <c r="DJ66" i="3"/>
  <c r="DJ65" i="3"/>
  <c r="DJ64" i="3"/>
  <c r="DJ63" i="3"/>
  <c r="DJ62" i="3"/>
  <c r="DJ61" i="3"/>
  <c r="DJ60" i="3"/>
  <c r="DJ59" i="3"/>
  <c r="DJ58" i="3"/>
  <c r="DJ57" i="3"/>
  <c r="DJ56" i="3"/>
  <c r="DJ55" i="3"/>
  <c r="DJ54" i="3"/>
  <c r="DJ53" i="3"/>
  <c r="DJ52" i="3"/>
  <c r="DJ51" i="3"/>
  <c r="DJ50" i="3"/>
  <c r="DJ49" i="3"/>
  <c r="DJ48" i="3"/>
  <c r="DI68" i="3"/>
  <c r="DH68" i="3"/>
  <c r="DG68" i="3"/>
  <c r="DF68" i="3"/>
  <c r="DE68" i="3"/>
  <c r="DD68" i="3"/>
  <c r="DC68" i="3"/>
  <c r="DB68" i="3"/>
  <c r="DA68" i="3"/>
  <c r="CZ68" i="3"/>
  <c r="CY68" i="3"/>
  <c r="CX68" i="3"/>
  <c r="CW68" i="3"/>
  <c r="CV68" i="3"/>
  <c r="CU68" i="3"/>
  <c r="CT68" i="3"/>
  <c r="CS68" i="3"/>
  <c r="CR68" i="3"/>
  <c r="CQ68" i="3"/>
  <c r="CP68" i="3"/>
  <c r="CO68" i="3"/>
  <c r="CN68" i="3"/>
  <c r="CM68" i="3"/>
  <c r="CL68" i="3"/>
  <c r="CK68" i="3"/>
  <c r="CJ68" i="3"/>
  <c r="CI68" i="3"/>
  <c r="CH68" i="3"/>
  <c r="CG68" i="3"/>
  <c r="CF68" i="3"/>
  <c r="CE68" i="3"/>
  <c r="CD68" i="3"/>
  <c r="CC68" i="3"/>
  <c r="CB68" i="3"/>
  <c r="CA68" i="3"/>
  <c r="BZ68" i="3"/>
  <c r="BY68" i="3"/>
  <c r="BX68" i="3"/>
  <c r="BW68" i="3"/>
  <c r="BV68" i="3"/>
  <c r="DJ47" i="3"/>
  <c r="DJ46" i="3"/>
  <c r="DJ45" i="3"/>
  <c r="DJ44" i="3"/>
  <c r="DJ43" i="3"/>
  <c r="DJ42" i="3"/>
  <c r="DJ41" i="3"/>
  <c r="DJ40" i="3"/>
  <c r="DJ39" i="3"/>
  <c r="DJ38" i="3"/>
  <c r="DJ37" i="3"/>
  <c r="DJ36" i="3"/>
  <c r="DJ35" i="3"/>
  <c r="DJ34" i="3"/>
  <c r="DJ33" i="3"/>
  <c r="DJ32" i="3"/>
  <c r="DJ31" i="3"/>
  <c r="DJ30" i="3"/>
  <c r="DJ29" i="3"/>
  <c r="DJ28" i="3"/>
  <c r="A24" i="3"/>
  <c r="AP24" i="3" s="1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BS11" i="3"/>
  <c r="AP9" i="3"/>
  <c r="AP8" i="3"/>
  <c r="AP7" i="3"/>
  <c r="AP6" i="3"/>
  <c r="BS7" i="3"/>
  <c r="AP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CM26" i="3"/>
  <c r="AR25" i="2"/>
  <c r="AP25" i="2"/>
  <c r="AO25" i="2"/>
  <c r="AN25" i="2"/>
  <c r="AJ25" i="2"/>
  <c r="AH25" i="2"/>
  <c r="AG25" i="2"/>
  <c r="AF25" i="2"/>
  <c r="AB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AA24" i="2"/>
  <c r="AV24" i="2" s="1"/>
  <c r="W24" i="2"/>
  <c r="AV23" i="2"/>
  <c r="AA23" i="2"/>
  <c r="W23" i="2"/>
  <c r="AA22" i="2"/>
  <c r="AV22" i="2" s="1"/>
  <c r="W22" i="2"/>
  <c r="AA21" i="2"/>
  <c r="AV21" i="2" s="1"/>
  <c r="W21" i="2"/>
  <c r="AA20" i="2"/>
  <c r="AV20" i="2" s="1"/>
  <c r="W20" i="2"/>
  <c r="AV19" i="2"/>
  <c r="AA19" i="2"/>
  <c r="W19" i="2"/>
  <c r="AA18" i="2"/>
  <c r="AV18" i="2" s="1"/>
  <c r="W18" i="2"/>
  <c r="AA17" i="2"/>
  <c r="AV17" i="2" s="1"/>
  <c r="W17" i="2"/>
  <c r="AA16" i="2"/>
  <c r="AV16" i="2" s="1"/>
  <c r="W16" i="2"/>
  <c r="AV15" i="2"/>
  <c r="AA15" i="2"/>
  <c r="W15" i="2"/>
  <c r="AA14" i="2"/>
  <c r="AV14" i="2" s="1"/>
  <c r="W14" i="2"/>
  <c r="AA13" i="2"/>
  <c r="AV13" i="2" s="1"/>
  <c r="W13" i="2"/>
  <c r="AA12" i="2"/>
  <c r="AV12" i="2" s="1"/>
  <c r="W12" i="2"/>
  <c r="AV11" i="2"/>
  <c r="AA11" i="2"/>
  <c r="W11" i="2"/>
  <c r="AA10" i="2"/>
  <c r="AV10" i="2" s="1"/>
  <c r="Y10" i="2"/>
  <c r="W10" i="2"/>
  <c r="AA9" i="2"/>
  <c r="AV9" i="2" s="1"/>
  <c r="W9" i="2"/>
  <c r="AA8" i="2"/>
  <c r="AV8" i="2" s="1"/>
  <c r="W8" i="2"/>
  <c r="AA7" i="2"/>
  <c r="AV7" i="2" s="1"/>
  <c r="W7" i="2"/>
  <c r="AV6" i="2"/>
  <c r="AA6" i="2"/>
  <c r="Y6" i="2"/>
  <c r="W6" i="2"/>
  <c r="AA5" i="2"/>
  <c r="AV5" i="2" s="1"/>
  <c r="W5" i="2"/>
  <c r="AU4" i="2"/>
  <c r="AU25" i="2" s="1"/>
  <c r="AT4" i="2"/>
  <c r="AT25" i="2" s="1"/>
  <c r="AS4" i="2"/>
  <c r="AS25" i="2" s="1"/>
  <c r="AR4" i="2"/>
  <c r="AQ4" i="2"/>
  <c r="AQ25" i="2" s="1"/>
  <c r="AP4" i="2"/>
  <c r="AO4" i="2"/>
  <c r="AN4" i="2"/>
  <c r="AM4" i="2"/>
  <c r="AM25" i="2" s="1"/>
  <c r="AL4" i="2"/>
  <c r="AL25" i="2" s="1"/>
  <c r="AK4" i="2"/>
  <c r="AK25" i="2" s="1"/>
  <c r="AJ4" i="2"/>
  <c r="AI4" i="2"/>
  <c r="AI25" i="2" s="1"/>
  <c r="AH4" i="2"/>
  <c r="AG4" i="2"/>
  <c r="AF4" i="2"/>
  <c r="AE4" i="2"/>
  <c r="AE25" i="2" s="1"/>
  <c r="AD4" i="2"/>
  <c r="AD25" i="2" s="1"/>
  <c r="AC4" i="2"/>
  <c r="AC25" i="2" s="1"/>
  <c r="AB4" i="2"/>
  <c r="T3" i="2"/>
  <c r="T3" i="6"/>
  <c r="Y10" i="6"/>
  <c r="Y6" i="6"/>
  <c r="AC4" i="6"/>
  <c r="AD4" i="6"/>
  <c r="AD25" i="6" s="1"/>
  <c r="AE4" i="6"/>
  <c r="AE25" i="6" s="1"/>
  <c r="AF4" i="6"/>
  <c r="AF25" i="6" s="1"/>
  <c r="AG4" i="6"/>
  <c r="AG25" i="6" s="1"/>
  <c r="AH4" i="6"/>
  <c r="AH25" i="6" s="1"/>
  <c r="AI4" i="6"/>
  <c r="AI25" i="6" s="1"/>
  <c r="AJ4" i="6"/>
  <c r="AJ25" i="6" s="1"/>
  <c r="AK4" i="6"/>
  <c r="AK25" i="6" s="1"/>
  <c r="AL4" i="6"/>
  <c r="AL25" i="6" s="1"/>
  <c r="AM4" i="6"/>
  <c r="AM25" i="6" s="1"/>
  <c r="AN4" i="6"/>
  <c r="AN25" i="6" s="1"/>
  <c r="AO4" i="6"/>
  <c r="AO25" i="6" s="1"/>
  <c r="AP4" i="6"/>
  <c r="AP25" i="6" s="1"/>
  <c r="AQ4" i="6"/>
  <c r="AQ25" i="6" s="1"/>
  <c r="AR4" i="6"/>
  <c r="AR25" i="6" s="1"/>
  <c r="AS4" i="6"/>
  <c r="AS25" i="6" s="1"/>
  <c r="AT4" i="6"/>
  <c r="AT25" i="6" s="1"/>
  <c r="AU4" i="6"/>
  <c r="AU25" i="6" s="1"/>
  <c r="AF1" i="2"/>
  <c r="AC1" i="2" a="1"/>
  <c r="AF2" i="2"/>
  <c r="AD2" i="2" s="1" a="1"/>
  <c r="AC2" i="2" a="1"/>
  <c r="AD1" i="2" a="1"/>
  <c r="F1" i="3"/>
  <c r="C1" i="3" s="1" a="1"/>
  <c r="D1" i="3" a="1"/>
  <c r="F2" i="3"/>
  <c r="D2" i="3" a="1"/>
  <c r="C2" i="3" a="1"/>
  <c r="D2" i="3" l="1"/>
  <c r="C2" i="3"/>
  <c r="D1" i="3"/>
  <c r="C1" i="3"/>
  <c r="AD1" i="2"/>
  <c r="AC2" i="2"/>
  <c r="AD2" i="2"/>
  <c r="AC1" i="2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V6" i="6" l="1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5" i="6"/>
  <c r="AC25" i="6"/>
  <c r="AB4" i="6"/>
  <c r="AB25" i="6" s="1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C25" i="6"/>
  <c r="AF1" i="6"/>
  <c r="AF2" i="6"/>
  <c r="AD1" i="6" a="1"/>
  <c r="AC1" i="6" a="1"/>
  <c r="AC2" i="6" a="1"/>
  <c r="AD2" i="6" a="1"/>
  <c r="AC1" i="6" l="1"/>
  <c r="AD2" i="6"/>
  <c r="AC2" i="6"/>
  <c r="AD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<sst xmlns="http://schemas.openxmlformats.org/spreadsheetml/2006/main" count="1643" uniqueCount="106">
  <si>
    <t>Step Count</t>
  </si>
  <si>
    <t>Start</t>
  </si>
  <si>
    <t>End</t>
  </si>
  <si>
    <t xml:space="preserve">Put an "S" for start, "E" for end. </t>
  </si>
  <si>
    <t>Connection Matrix</t>
  </si>
  <si>
    <t>=VALUE(gettoken(AF1,2))</t>
  </si>
  <si>
    <t xml:space="preserve">     Windows: use Alt+Arrows to connect and Shift+Alt+Arrows to disconnect</t>
  </si>
  <si>
    <t xml:space="preserve">                Mac: use Shft+Arrows to connect and Shift+Crtl+Arrows to disconnect</t>
  </si>
  <si>
    <t>When in Maze Editing Mode:</t>
  </si>
  <si>
    <t>MazeEditingIsOn</t>
  </si>
  <si>
    <t>=IF(ISERROR(SEARCH("N",AB5)), "N not there","oops")</t>
  </si>
  <si>
    <t>=ISERROR(SEARCH("S",AB5))</t>
  </si>
  <si>
    <t>=ISERROR(SEARCH("E",AB5))</t>
  </si>
  <si>
    <t>=ISERROR(SEARCH("W",AB5))</t>
  </si>
  <si>
    <t>TraversingIsOn</t>
  </si>
  <si>
    <t>PreviousCell</t>
  </si>
  <si>
    <t>WN</t>
  </si>
  <si>
    <t>WE</t>
  </si>
  <si>
    <t>SW</t>
  </si>
  <si>
    <t>SN</t>
  </si>
  <si>
    <t>EW</t>
  </si>
  <si>
    <t>ES</t>
  </si>
  <si>
    <t>NS</t>
  </si>
  <si>
    <t>WEN</t>
  </si>
  <si>
    <t>WS</t>
  </si>
  <si>
    <t>WNE</t>
  </si>
  <si>
    <t>NE</t>
  </si>
  <si>
    <t>SE</t>
  </si>
  <si>
    <t>SEW</t>
  </si>
  <si>
    <t>NW</t>
  </si>
  <si>
    <t>NWS</t>
  </si>
  <si>
    <t>EN</t>
  </si>
  <si>
    <t>SWE</t>
  </si>
  <si>
    <t>EWS</t>
  </si>
  <si>
    <t>SNEW</t>
  </si>
  <si>
    <t>ESNW</t>
  </si>
  <si>
    <t>NSW</t>
  </si>
  <si>
    <t>EWN</t>
  </si>
  <si>
    <t>WES</t>
  </si>
  <si>
    <t>ESW</t>
  </si>
  <si>
    <t>NES</t>
  </si>
  <si>
    <t>ENW</t>
  </si>
  <si>
    <t>NESW</t>
  </si>
  <si>
    <t>ESN</t>
  </si>
  <si>
    <t>SWN</t>
  </si>
  <si>
    <t>WSE</t>
  </si>
  <si>
    <t>EWSN</t>
  </si>
  <si>
    <t>WSN</t>
  </si>
  <si>
    <t>ENS</t>
  </si>
  <si>
    <t>WENS</t>
  </si>
  <si>
    <t>NWES</t>
  </si>
  <si>
    <t>ENSW</t>
  </si>
  <si>
    <t>SEWN</t>
  </si>
  <si>
    <t>SNE</t>
  </si>
  <si>
    <t>SWEN</t>
  </si>
  <si>
    <t>NSE</t>
  </si>
  <si>
    <t>ENWS</t>
  </si>
  <si>
    <t>WNS</t>
  </si>
  <si>
    <t>SEN</t>
  </si>
  <si>
    <t>SNW</t>
  </si>
  <si>
    <t>WSEN</t>
  </si>
  <si>
    <t>ESWN</t>
  </si>
  <si>
    <t>NEWS</t>
  </si>
  <si>
    <t>NSEW</t>
  </si>
  <si>
    <t>SWNE</t>
  </si>
  <si>
    <t>NSWE</t>
  </si>
  <si>
    <t>EWNS</t>
  </si>
  <si>
    <t>WSNE</t>
  </si>
  <si>
    <t>NWSE</t>
  </si>
  <si>
    <t>SNWE</t>
  </si>
  <si>
    <t>WESN</t>
  </si>
  <si>
    <t>WNES</t>
  </si>
  <si>
    <t>WNSE</t>
  </si>
  <si>
    <t>NEW</t>
  </si>
  <si>
    <t>$C$24</t>
  </si>
  <si>
    <t>W</t>
  </si>
  <si>
    <t>E</t>
  </si>
  <si>
    <t>S</t>
  </si>
  <si>
    <t>NWE</t>
  </si>
  <si>
    <t>N</t>
  </si>
  <si>
    <t>NSN</t>
  </si>
  <si>
    <t>WEWE</t>
  </si>
  <si>
    <t>EE</t>
  </si>
  <si>
    <t>EWE</t>
  </si>
  <si>
    <t>WEWEWE</t>
  </si>
  <si>
    <t>EEWE</t>
  </si>
  <si>
    <t>EWEWE</t>
  </si>
  <si>
    <t>NSNNS</t>
  </si>
  <si>
    <t>WEE</t>
  </si>
  <si>
    <t>NSNS</t>
  </si>
  <si>
    <t>WEWEWEWE</t>
  </si>
  <si>
    <t>EEWEWE</t>
  </si>
  <si>
    <t>EWEWEWE</t>
  </si>
  <si>
    <t>WEWEEWE</t>
  </si>
  <si>
    <t>EWEEWE</t>
  </si>
  <si>
    <t>NSNNSNS</t>
  </si>
  <si>
    <t>WEEWE</t>
  </si>
  <si>
    <t>NSNSNS</t>
  </si>
  <si>
    <t>WEWEWEWEWE</t>
  </si>
  <si>
    <t>EEWEWEWE</t>
  </si>
  <si>
    <t>EWEWEWEWE</t>
  </si>
  <si>
    <t>NSNNSNSNS</t>
  </si>
  <si>
    <t>NNSNSNS</t>
  </si>
  <si>
    <t>NSNSNSNS</t>
  </si>
  <si>
    <t>WEEWEWE</t>
  </si>
  <si>
    <t>$CD$38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</si>
</sst>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quotePrefix="1"/>
    <xf numFmtId="0" fontId="2" fillId="0" borderId="0" xfId="0" applyFont="1" applyAlignment="1">
      <alignment horizontal="center" vertical="center"/>
    </xf>
    <xf numFmtId="0" fontId="0" fillId="0" borderId="3" xfId="0" applyBorder="1"/>
    <xf numFmtId="0" fontId="0" fillId="2" borderId="2" xfId="0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/>
    </xf>
  </cellXfs>
  <cellStyles count="1">
    <cellStyle name="Normal" xfId="0" builtinId="0"/>
  </cellStyles>
  <dxfs count="36"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C2E49C"/>
      <color rgb="FFB6DF89"/>
      <color rgb="FFFFA3A3"/>
      <color rgb="FFFF6969"/>
      <color rgb="FF2C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42863</xdr:colOff>
          <xdr:row>0</xdr:row>
          <xdr:rowOff>138113</xdr:rowOff>
        </xdr:from>
        <xdr:to>
          <xdr:col>14</xdr:col>
          <xdr:colOff>52388</xdr:colOff>
          <xdr:row>1</xdr:row>
          <xdr:rowOff>195263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0</xdr:row>
          <xdr:rowOff>176213</xdr:rowOff>
        </xdr:from>
        <xdr:to>
          <xdr:col>7</xdr:col>
          <xdr:colOff>80963</xdr:colOff>
          <xdr:row>1</xdr:row>
          <xdr:rowOff>195263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23813</xdr:colOff>
          <xdr:row>0</xdr:row>
          <xdr:rowOff>223838</xdr:rowOff>
        </xdr:from>
        <xdr:to>
          <xdr:col>20</xdr:col>
          <xdr:colOff>152400</xdr:colOff>
          <xdr:row>1</xdr:row>
          <xdr:rowOff>223838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100013</xdr:rowOff>
        </xdr:from>
        <xdr:to>
          <xdr:col>24</xdr:col>
          <xdr:colOff>1662113</xdr:colOff>
          <xdr:row>24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501763</xdr:colOff>
      <xdr:row>26</xdr:row>
      <xdr:rowOff>114539</xdr:rowOff>
    </xdr:from>
    <xdr:to>
      <xdr:col>24</xdr:col>
      <xdr:colOff>832715</xdr:colOff>
      <xdr:row>28</xdr:row>
      <xdr:rowOff>76539</xdr:rowOff>
    </xdr:to>
    <xdr:pic>
      <xdr:nvPicPr>
        <xdr:cNvPr id="3" name="ScareImg">
          <a:extLst>
            <a:ext uri="{FF2B5EF4-FFF2-40B4-BE49-F238E27FC236}">
              <a16:creationId xmlns:a16="http://schemas.microsoft.com/office/drawing/2014/main" id="{E1C7F64A-ED41-31E5-1BD3-E01AEBB4C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2388" y="4962084"/>
          <a:ext cx="330952" cy="3191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42863</xdr:colOff>
          <xdr:row>0</xdr:row>
          <xdr:rowOff>138113</xdr:rowOff>
        </xdr:from>
        <xdr:to>
          <xdr:col>14</xdr:col>
          <xdr:colOff>52388</xdr:colOff>
          <xdr:row>1</xdr:row>
          <xdr:rowOff>195263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0</xdr:row>
          <xdr:rowOff>176213</xdr:rowOff>
        </xdr:from>
        <xdr:to>
          <xdr:col>7</xdr:col>
          <xdr:colOff>80963</xdr:colOff>
          <xdr:row>1</xdr:row>
          <xdr:rowOff>195263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23813</xdr:colOff>
          <xdr:row>1</xdr:row>
          <xdr:rowOff>223838</xdr:rowOff>
        </xdr:from>
        <xdr:to>
          <xdr:col>20</xdr:col>
          <xdr:colOff>152400</xdr:colOff>
          <xdr:row>1</xdr:row>
          <xdr:rowOff>223838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100013</xdr:rowOff>
        </xdr:from>
        <xdr:to>
          <xdr:col>24</xdr:col>
          <xdr:colOff>1662113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42863</xdr:colOff>
          <xdr:row>1</xdr:row>
          <xdr:rowOff>138113</xdr:rowOff>
        </xdr:from>
        <xdr:to>
          <xdr:col>85</xdr:col>
          <xdr:colOff>52388</xdr:colOff>
          <xdr:row>2</xdr:row>
          <xdr:rowOff>195263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161925</xdr:colOff>
          <xdr:row>1</xdr:row>
          <xdr:rowOff>176213</xdr:rowOff>
        </xdr:from>
        <xdr:to>
          <xdr:col>78</xdr:col>
          <xdr:colOff>80963</xdr:colOff>
          <xdr:row>2</xdr:row>
          <xdr:rowOff>195263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23813</xdr:colOff>
          <xdr:row>2</xdr:row>
          <xdr:rowOff>223838</xdr:rowOff>
        </xdr:from>
        <xdr:to>
          <xdr:col>91</xdr:col>
          <xdr:colOff>152400</xdr:colOff>
          <xdr:row>2</xdr:row>
          <xdr:rowOff>223838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519113</xdr:colOff>
          <xdr:row>22</xdr:row>
          <xdr:rowOff>142875</xdr:rowOff>
        </xdr:from>
        <xdr:to>
          <xdr:col>71</xdr:col>
          <xdr:colOff>485775</xdr:colOff>
          <xdr:row>25</xdr:row>
          <xdr:rowOff>42863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100013</xdr:colOff>
          <xdr:row>1</xdr:row>
          <xdr:rowOff>100013</xdr:rowOff>
        </xdr:from>
        <xdr:to>
          <xdr:col>93</xdr:col>
          <xdr:colOff>19050</xdr:colOff>
          <xdr:row>2</xdr:row>
          <xdr:rowOff>166688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157163</xdr:colOff>
          <xdr:row>17</xdr:row>
          <xdr:rowOff>109538</xdr:rowOff>
        </xdr:from>
        <xdr:to>
          <xdr:col>71</xdr:col>
          <xdr:colOff>14288</xdr:colOff>
          <xdr:row>19</xdr:row>
          <xdr:rowOff>23813</xdr:rowOff>
        </xdr:to>
        <xdr:sp macro="" textlink="">
          <xdr:nvSpPr>
            <xdr:cNvPr id="20091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7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118</xdr:col>
      <xdr:colOff>388621</xdr:colOff>
      <xdr:row>20</xdr:row>
      <xdr:rowOff>45244</xdr:rowOff>
    </xdr:from>
    <xdr:to>
      <xdr:col>119</xdr:col>
      <xdr:colOff>45721</xdr:colOff>
      <xdr:row>21</xdr:row>
      <xdr:rowOff>171450</xdr:rowOff>
    </xdr:to>
    <xdr:pic>
      <xdr:nvPicPr>
        <xdr:cNvPr id="20093" name="Player" hidden="1">
          <a:extLst>
            <a:ext uri="{FF2B5EF4-FFF2-40B4-BE49-F238E27FC236}">
              <a16:creationId xmlns:a16="http://schemas.microsoft.com/office/drawing/2014/main" id="{CEEB76C3-B179-62A4-F797-04A8410E5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9146" y="3712369"/>
          <a:ext cx="304800" cy="307181"/>
        </a:xfrm>
        <a:prstGeom prst="rect">
          <a:avLst/>
        </a:prstGeom>
      </xdr:spPr>
    </xdr:pic>
    <xdr:clientData/>
  </xdr:twoCellAnchor>
  <xdr:twoCellAnchor editAs="oneCell">
    <xdr:from>
      <xdr:col>105</xdr:col>
      <xdr:colOff>54052</xdr:colOff>
      <xdr:row>0</xdr:row>
      <xdr:rowOff>0</xdr:rowOff>
    </xdr:from>
    <xdr:to>
      <xdr:col>124</xdr:col>
      <xdr:colOff>588884</xdr:colOff>
      <xdr:row>42</xdr:row>
      <xdr:rowOff>82313</xdr:rowOff>
    </xdr:to>
    <xdr:pic>
      <xdr:nvPicPr>
        <xdr:cNvPr id="20095" name="Light" hidden="1">
          <a:extLst>
            <a:ext uri="{FF2B5EF4-FFF2-40B4-BE49-F238E27FC236}">
              <a16:creationId xmlns:a16="http://schemas.microsoft.com/office/drawing/2014/main" id="{EBB78EA5-399F-6D5C-3A75-750A33A7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80840" y="0"/>
          <a:ext cx="7654769" cy="773088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791A-3F4E-49E9-A91E-162C61FDCB9D}">
  <sheetPr codeName="Sheet6">
    <pageSetUpPr fitToPage="1"/>
  </sheetPr>
  <dimension ref="B1:AV30"/>
  <sheetViews>
    <sheetView zoomScale="117" zoomScaleNormal="85" workbookViewId="0">
      <selection activeCell="I24" sqref="I24"/>
    </sheetView>
  </sheetViews>
  <sheetFormatPr defaultRowHeight="14.25" x14ac:dyDescent="0.45"/>
  <cols>
    <col min="1" max="1" width="1.59765625" customWidth="1"/>
    <col min="2" max="23" width="2.86328125" customWidth="1"/>
    <col min="24" max="24" width="5.59765625" customWidth="1"/>
    <col min="25" max="25" width="27.73046875" customWidth="1"/>
    <col min="26" max="26" width="2.59765625" customWidth="1"/>
    <col min="27" max="27" width="3.73046875" customWidth="1"/>
    <col min="28" max="47" width="4.59765625" customWidth="1"/>
    <col min="48" max="48" width="3.73046875" customWidth="1"/>
  </cols>
  <sheetData>
    <row r="1" spans="2:48" ht="19.5" customHeight="1" x14ac:dyDescent="0.45">
      <c r="D1" s="12"/>
      <c r="AB1" s="2" t="s">
        <v>1</v>
      </c>
      <c r="AC1" s="5" cm="1">
        <f t="array" ref="AC1">VALUE(gettoken(AF1,2))</f>
        <v>0</v>
      </c>
      <c r="AD1" s="5" cm="1">
        <f t="array" ref="AD1">VALUE(gettoken(AF1,3))</f>
        <v>0</v>
      </c>
      <c r="AF1" s="9" t="str">
        <f>"Start: "&amp;match2D("S",WholeMaze)</f>
        <v>Start: 0 0</v>
      </c>
      <c r="AI1" s="3" t="s">
        <v>5</v>
      </c>
    </row>
    <row r="2" spans="2:48" ht="19.5" customHeight="1" x14ac:dyDescent="0.4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9.5" customHeight="1" x14ac:dyDescent="0.55000000000000004">
      <c r="S3" s="2" t="s">
        <v>0</v>
      </c>
      <c r="T3" s="17">
        <f>SUM(WholeMaze)</f>
        <v>0</v>
      </c>
      <c r="U3" s="17"/>
      <c r="V3" s="17"/>
      <c r="AB3" s="13" t="s">
        <v>4</v>
      </c>
    </row>
    <row r="4" spans="2:48" x14ac:dyDescent="0.4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4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4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4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4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4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4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4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4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4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105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4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4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4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4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4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4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4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4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4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4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4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4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45">
      <c r="B27" t="s">
        <v>3</v>
      </c>
    </row>
    <row r="28" spans="2:48" x14ac:dyDescent="0.45">
      <c r="B28" s="15" t="s">
        <v>8</v>
      </c>
      <c r="C28" s="15"/>
      <c r="D28" s="15"/>
      <c r="E28" s="15"/>
      <c r="F28" s="15"/>
    </row>
    <row r="29" spans="2:48" x14ac:dyDescent="0.45">
      <c r="B29" s="15" t="s">
        <v>7</v>
      </c>
      <c r="C29" s="15"/>
      <c r="D29" s="15"/>
      <c r="E29" s="15"/>
      <c r="F29" s="15"/>
    </row>
    <row r="30" spans="2:48" x14ac:dyDescent="0.4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35" priority="7">
      <formula>NOT(ISBLANK(AB5))</formula>
    </cfRule>
    <cfRule type="expression" dxfId="34" priority="13">
      <formula>ISERROR(SEARCH("N",AB5))</formula>
    </cfRule>
    <cfRule type="expression" dxfId="33" priority="14">
      <formula>ISERROR(SEARCH("E",AB5))</formula>
    </cfRule>
    <cfRule type="expression" dxfId="32" priority="15">
      <formula>ISERROR(SEARCH("W",AB5))</formula>
    </cfRule>
    <cfRule type="expression" dxfId="31" priority="20">
      <formula>ISERROR(SEARCH("S",AB5))</formula>
    </cfRule>
  </conditionalFormatting>
  <conditionalFormatting sqref="C5:C24">
    <cfRule type="expression" dxfId="30" priority="8">
      <formula>ISBLANK(AB5)</formula>
    </cfRule>
  </conditionalFormatting>
  <conditionalFormatting sqref="D5:V24">
    <cfRule type="expression" dxfId="29" priority="1">
      <formula>NOT(ISBLANK(AC5))</formula>
    </cfRule>
    <cfRule type="expression" dxfId="28" priority="3">
      <formula>ISERROR(SEARCH("N",AC5))</formula>
    </cfRule>
    <cfRule type="expression" dxfId="27" priority="4">
      <formula>ISERROR(SEARCH("E",AC5))</formula>
    </cfRule>
    <cfRule type="expression" dxfId="26" priority="5">
      <formula>ISERROR(SEARCH("W",AC5))</formula>
    </cfRule>
    <cfRule type="expression" dxfId="25" priority="6">
      <formula>ISERROR(SEARCH("S",AC5))</formula>
    </cfRule>
  </conditionalFormatting>
  <conditionalFormatting sqref="D5:V24">
    <cfRule type="expression" dxfId="24" priority="2">
      <formula>ISBLANK(AC5)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42863</xdr:colOff>
                    <xdr:row>0</xdr:row>
                    <xdr:rowOff>138113</xdr:rowOff>
                  </from>
                  <to>
                    <xdr:col>14</xdr:col>
                    <xdr:colOff>52388</xdr:colOff>
                    <xdr:row>1</xdr:row>
                    <xdr:rowOff>195263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MazeBtnResponse">
                <anchor moveWithCells="1" sizeWithCells="1">
                  <from>
                    <xdr:col>1</xdr:col>
                    <xdr:colOff>161925</xdr:colOff>
                    <xdr:row>0</xdr:row>
                    <xdr:rowOff>176213</xdr:rowOff>
                  </from>
                  <to>
                    <xdr:col>7</xdr:col>
                    <xdr:colOff>80963</xdr:colOff>
                    <xdr:row>1</xdr:row>
                    <xdr:rowOff>195263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ggleTraversing">
                <anchor moveWithCells="1" sizeWithCells="1">
                  <from>
                    <xdr:col>15</xdr:col>
                    <xdr:colOff>23813</xdr:colOff>
                    <xdr:row>0</xdr:row>
                    <xdr:rowOff>223838</xdr:rowOff>
                  </from>
                  <to>
                    <xdr:col>20</xdr:col>
                    <xdr:colOff>152400</xdr:colOff>
                    <xdr:row>1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100013</xdr:rowOff>
                  </from>
                  <to>
                    <xdr:col>24</xdr:col>
                    <xdr:colOff>1662113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AV30"/>
  <sheetViews>
    <sheetView topLeftCell="E1" zoomScale="75" workbookViewId="0">
      <selection activeCell="K1" sqref="K1"/>
    </sheetView>
  </sheetViews>
  <sheetFormatPr defaultRowHeight="14.25" x14ac:dyDescent="0.45"/>
  <cols>
    <col min="1" max="23" width="2.86328125" customWidth="1"/>
  </cols>
  <sheetData>
    <row r="1" spans="2:48" x14ac:dyDescent="0.45">
      <c r="D1" s="12"/>
      <c r="AB1" s="2" t="s">
        <v>1</v>
      </c>
      <c r="AC1" s="5" cm="1">
        <f t="array" ref="AC1">VALUE(gettoken(AF1,2))</f>
        <v>0</v>
      </c>
      <c r="AD1" s="5" cm="1">
        <f t="array" ref="AD1">VALUE(gettoken(AF1,3))</f>
        <v>0</v>
      </c>
      <c r="AF1" s="9" t="str">
        <f>"Start: "&amp;match2D("S",WholeMaze)</f>
        <v>Start: 0 0</v>
      </c>
      <c r="AI1" s="3" t="s">
        <v>5</v>
      </c>
    </row>
    <row r="2" spans="2:48" x14ac:dyDescent="0.4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8" x14ac:dyDescent="0.55000000000000004">
      <c r="S3" s="2" t="s">
        <v>0</v>
      </c>
      <c r="T3" s="17">
        <f>SUM(WholeMaze)</f>
        <v>0</v>
      </c>
      <c r="U3" s="17"/>
      <c r="V3" s="17"/>
      <c r="AB3" s="13" t="s">
        <v>4</v>
      </c>
    </row>
    <row r="4" spans="2:48" x14ac:dyDescent="0.4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4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4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4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4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4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4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4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4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4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74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4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4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4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4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4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4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4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4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4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4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4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4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45">
      <c r="B27" t="s">
        <v>3</v>
      </c>
    </row>
    <row r="28" spans="2:48" x14ac:dyDescent="0.45">
      <c r="B28" s="15" t="s">
        <v>8</v>
      </c>
      <c r="C28" s="15"/>
      <c r="D28" s="15"/>
      <c r="E28" s="15"/>
      <c r="F28" s="15"/>
    </row>
    <row r="29" spans="2:48" x14ac:dyDescent="0.45">
      <c r="B29" s="15" t="s">
        <v>7</v>
      </c>
      <c r="C29" s="15"/>
      <c r="D29" s="15"/>
      <c r="E29" s="15"/>
      <c r="F29" s="15"/>
    </row>
    <row r="30" spans="2:48" x14ac:dyDescent="0.4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23" priority="7">
      <formula>NOT(ISBLANK(AB5))</formula>
    </cfRule>
    <cfRule type="expression" dxfId="22" priority="9">
      <formula>ISERROR(SEARCH("N",AB5))</formula>
    </cfRule>
    <cfRule type="expression" dxfId="21" priority="10">
      <formula>ISERROR(SEARCH("E",AB5))</formula>
    </cfRule>
    <cfRule type="expression" dxfId="20" priority="11">
      <formula>ISERROR(SEARCH("W",AB5))</formula>
    </cfRule>
    <cfRule type="expression" dxfId="19" priority="12">
      <formula>ISERROR(SEARCH("S",AB5))</formula>
    </cfRule>
  </conditionalFormatting>
  <conditionalFormatting sqref="C5:C24">
    <cfRule type="expression" dxfId="18" priority="8">
      <formula>ISBLANK(AB5)</formula>
    </cfRule>
  </conditionalFormatting>
  <conditionalFormatting sqref="D5:V24">
    <cfRule type="expression" dxfId="17" priority="1">
      <formula>NOT(ISBLANK(AC5))</formula>
    </cfRule>
    <cfRule type="expression" dxfId="16" priority="3">
      <formula>ISERROR(SEARCH("N",AC5))</formula>
    </cfRule>
    <cfRule type="expression" dxfId="15" priority="4">
      <formula>ISERROR(SEARCH("E",AC5))</formula>
    </cfRule>
    <cfRule type="expression" dxfId="14" priority="5">
      <formula>ISERROR(SEARCH("W",AC5))</formula>
    </cfRule>
    <cfRule type="expression" dxfId="13" priority="6">
      <formula>ISERROR(SEARCH("S",AC5))</formula>
    </cfRule>
  </conditionalFormatting>
  <conditionalFormatting sqref="D5:V24">
    <cfRule type="expression" dxfId="12" priority="2">
      <formula>ISBLANK(AC5)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42863</xdr:colOff>
                    <xdr:row>0</xdr:row>
                    <xdr:rowOff>138113</xdr:rowOff>
                  </from>
                  <to>
                    <xdr:col>14</xdr:col>
                    <xdr:colOff>52388</xdr:colOff>
                    <xdr:row>1</xdr:row>
                    <xdr:rowOff>195263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MazeBtnResponse">
                <anchor moveWithCells="1" sizeWithCells="1">
                  <from>
                    <xdr:col>1</xdr:col>
                    <xdr:colOff>161925</xdr:colOff>
                    <xdr:row>0</xdr:row>
                    <xdr:rowOff>176213</xdr:rowOff>
                  </from>
                  <to>
                    <xdr:col>7</xdr:col>
                    <xdr:colOff>80963</xdr:colOff>
                    <xdr:row>1</xdr:row>
                    <xdr:rowOff>195263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oggleTraversing">
                <anchor moveWithCells="1" sizeWithCells="1">
                  <from>
                    <xdr:col>15</xdr:col>
                    <xdr:colOff>23813</xdr:colOff>
                    <xdr:row>1</xdr:row>
                    <xdr:rowOff>223838</xdr:rowOff>
                  </from>
                  <to>
                    <xdr:col>20</xdr:col>
                    <xdr:colOff>152400</xdr:colOff>
                    <xdr:row>1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100013</xdr:rowOff>
                  </from>
                  <to>
                    <xdr:col>24</xdr:col>
                    <xdr:colOff>1662113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J73"/>
  <sheetViews>
    <sheetView tabSelected="1" topLeftCell="AA1" zoomScale="57" zoomScaleNormal="103" workbookViewId="0">
      <selection activeCell="CE11" sqref="CE11"/>
    </sheetView>
  </sheetViews>
  <sheetFormatPr defaultRowHeight="14.25" x14ac:dyDescent="0.45"/>
  <cols>
    <col min="1" max="42" width="3.59765625" customWidth="1"/>
    <col min="43" max="70" width="2.46484375" customWidth="1"/>
    <col min="71" max="72" width="15.9296875" customWidth="1"/>
    <col min="73" max="116" width="2.46484375" customWidth="1"/>
  </cols>
  <sheetData>
    <row r="1" spans="1:75" x14ac:dyDescent="0.45">
      <c r="B1" s="2" t="s">
        <v>1</v>
      </c>
      <c r="C1" s="5" cm="1">
        <f t="array" ref="C1">VALUE(gettoken(F1,2))</f>
        <v>0</v>
      </c>
      <c r="D1" s="5" cm="1">
        <f t="array" ref="D1">VALUE(gettoken(F1,3))</f>
        <v>0</v>
      </c>
      <c r="F1" s="9" t="str">
        <f>"Start: "&amp;match2D("S",WholeMaze)</f>
        <v>Start: 0 0</v>
      </c>
      <c r="I1" s="3" t="s">
        <v>5</v>
      </c>
    </row>
    <row r="2" spans="1:75" x14ac:dyDescent="0.45">
      <c r="B2" s="2" t="s">
        <v>2</v>
      </c>
      <c r="C2" s="5" cm="1">
        <f t="array" ref="C2">VALUE(gettoken(F2,2))</f>
        <v>0</v>
      </c>
      <c r="D2" s="5" cm="1">
        <f t="array" ref="D2">VALUE(gettoken(F2,3))</f>
        <v>0</v>
      </c>
      <c r="F2" s="6" t="str">
        <f>"End: "&amp;match2D("E",WholeMaze)</f>
        <v>End: 0 0</v>
      </c>
      <c r="BW2" s="12"/>
    </row>
    <row r="3" spans="1:75" ht="18" x14ac:dyDescent="0.55000000000000004">
      <c r="B3" s="13" t="s">
        <v>4</v>
      </c>
      <c r="BW3" s="12"/>
    </row>
    <row r="4" spans="1:75" x14ac:dyDescent="0.45">
      <c r="B4" s="10">
        <v>1</v>
      </c>
      <c r="C4" s="10">
        <v>2</v>
      </c>
      <c r="D4" s="10">
        <v>3</v>
      </c>
      <c r="E4" s="10">
        <v>4</v>
      </c>
      <c r="F4" s="10">
        <v>5</v>
      </c>
      <c r="G4" s="10">
        <v>6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f>CP27</f>
        <v>21</v>
      </c>
      <c r="W4" s="10">
        <f>CQ27</f>
        <v>22</v>
      </c>
      <c r="X4" s="10">
        <f>CR27</f>
        <v>23</v>
      </c>
      <c r="Y4" s="10">
        <f>CS27</f>
        <v>24</v>
      </c>
      <c r="Z4" s="10">
        <f>CT27</f>
        <v>25</v>
      </c>
      <c r="AA4" s="10">
        <f>CU27</f>
        <v>26</v>
      </c>
      <c r="AB4" s="10">
        <f>CV27</f>
        <v>27</v>
      </c>
      <c r="AC4" s="10">
        <f>CW27</f>
        <v>28</v>
      </c>
      <c r="AD4" s="10">
        <f>CX27</f>
        <v>29</v>
      </c>
      <c r="AE4" s="10">
        <f>CY27</f>
        <v>30</v>
      </c>
      <c r="AF4" s="10">
        <f>CZ27</f>
        <v>31</v>
      </c>
      <c r="AG4" s="10">
        <f>DA27</f>
        <v>32</v>
      </c>
      <c r="AH4" s="10">
        <f>DB27</f>
        <v>33</v>
      </c>
      <c r="AI4" s="10">
        <f>DC27</f>
        <v>34</v>
      </c>
      <c r="AJ4" s="10">
        <f>DD27</f>
        <v>35</v>
      </c>
      <c r="AK4" s="10">
        <f>DE27</f>
        <v>36</v>
      </c>
      <c r="AL4" s="10">
        <f>DF27</f>
        <v>37</v>
      </c>
      <c r="AM4" s="10">
        <f>DG27</f>
        <v>38</v>
      </c>
      <c r="AN4" s="10">
        <f>DH27</f>
        <v>39</v>
      </c>
      <c r="AO4" s="10">
        <f>DI27</f>
        <v>40</v>
      </c>
    </row>
    <row r="5" spans="1:75" x14ac:dyDescent="0.45">
      <c r="A5" s="1">
        <v>1</v>
      </c>
      <c r="B5" t="s">
        <v>76</v>
      </c>
      <c r="C5" t="s">
        <v>98</v>
      </c>
      <c r="D5" t="s">
        <v>28</v>
      </c>
      <c r="E5" t="s">
        <v>98</v>
      </c>
      <c r="F5" t="s">
        <v>38</v>
      </c>
      <c r="G5" t="s">
        <v>92</v>
      </c>
      <c r="H5" t="s">
        <v>17</v>
      </c>
      <c r="I5" t="s">
        <v>81</v>
      </c>
      <c r="J5" t="s">
        <v>17</v>
      </c>
      <c r="K5" t="s">
        <v>98</v>
      </c>
      <c r="L5" t="s">
        <v>17</v>
      </c>
      <c r="M5" t="s">
        <v>98</v>
      </c>
      <c r="N5" t="s">
        <v>17</v>
      </c>
      <c r="O5" t="s">
        <v>99</v>
      </c>
      <c r="P5" t="s">
        <v>17</v>
      </c>
      <c r="Q5" t="s">
        <v>91</v>
      </c>
      <c r="R5" t="s">
        <v>24</v>
      </c>
      <c r="S5" t="s">
        <v>76</v>
      </c>
      <c r="T5" t="s">
        <v>27</v>
      </c>
      <c r="U5" t="s">
        <v>100</v>
      </c>
      <c r="V5" t="s">
        <v>17</v>
      </c>
      <c r="W5" t="s">
        <v>84</v>
      </c>
      <c r="X5" t="s">
        <v>24</v>
      </c>
      <c r="Y5" t="s">
        <v>93</v>
      </c>
      <c r="Z5" t="s">
        <v>21</v>
      </c>
      <c r="AA5" t="s">
        <v>84</v>
      </c>
      <c r="AB5" t="s">
        <v>32</v>
      </c>
      <c r="AC5" t="s">
        <v>92</v>
      </c>
      <c r="AD5" t="s">
        <v>17</v>
      </c>
      <c r="AE5" t="s">
        <v>84</v>
      </c>
      <c r="AF5" t="s">
        <v>24</v>
      </c>
      <c r="AG5" t="s">
        <v>94</v>
      </c>
      <c r="AH5" t="s">
        <v>27</v>
      </c>
      <c r="AI5" t="s">
        <v>92</v>
      </c>
      <c r="AJ5" t="s">
        <v>17</v>
      </c>
      <c r="AK5" t="s">
        <v>84</v>
      </c>
      <c r="AL5" t="s">
        <v>17</v>
      </c>
      <c r="AM5" t="s">
        <v>86</v>
      </c>
      <c r="AN5" t="s">
        <v>24</v>
      </c>
      <c r="AP5" s="1">
        <f>A5</f>
        <v>1</v>
      </c>
      <c r="BS5" s="14" t="s">
        <v>9</v>
      </c>
    </row>
    <row r="6" spans="1:75" x14ac:dyDescent="0.45">
      <c r="A6" s="1">
        <v>2</v>
      </c>
      <c r="B6" t="s">
        <v>95</v>
      </c>
      <c r="D6" t="s">
        <v>89</v>
      </c>
      <c r="F6" t="s">
        <v>22</v>
      </c>
      <c r="H6" t="s">
        <v>89</v>
      </c>
      <c r="J6" t="s">
        <v>80</v>
      </c>
      <c r="L6" t="s">
        <v>22</v>
      </c>
      <c r="P6" t="s">
        <v>87</v>
      </c>
      <c r="R6" t="s">
        <v>89</v>
      </c>
      <c r="T6" t="s">
        <v>101</v>
      </c>
      <c r="V6" t="s">
        <v>22</v>
      </c>
      <c r="X6" t="s">
        <v>97</v>
      </c>
      <c r="Z6" t="s">
        <v>101</v>
      </c>
      <c r="AB6" t="s">
        <v>97</v>
      </c>
      <c r="AD6" t="s">
        <v>22</v>
      </c>
      <c r="AF6" t="s">
        <v>95</v>
      </c>
      <c r="AH6" t="s">
        <v>102</v>
      </c>
      <c r="AJ6" t="s">
        <v>80</v>
      </c>
      <c r="AL6" t="s">
        <v>87</v>
      </c>
      <c r="AN6" t="s">
        <v>95</v>
      </c>
      <c r="AP6" s="1">
        <f>A6</f>
        <v>2</v>
      </c>
      <c r="BS6" s="7" t="b">
        <v>0</v>
      </c>
    </row>
    <row r="7" spans="1:75" x14ac:dyDescent="0.45">
      <c r="A7" s="1">
        <v>3</v>
      </c>
      <c r="B7" t="s">
        <v>27</v>
      </c>
      <c r="C7" t="s">
        <v>17</v>
      </c>
      <c r="D7" t="s">
        <v>16</v>
      </c>
      <c r="E7" t="s">
        <v>85</v>
      </c>
      <c r="F7" t="s">
        <v>79</v>
      </c>
      <c r="G7" t="s">
        <v>83</v>
      </c>
      <c r="H7" t="s">
        <v>21</v>
      </c>
      <c r="I7" t="s">
        <v>90</v>
      </c>
      <c r="J7" t="s">
        <v>18</v>
      </c>
      <c r="K7" t="s">
        <v>96</v>
      </c>
      <c r="L7" t="s">
        <v>21</v>
      </c>
      <c r="M7" t="s">
        <v>84</v>
      </c>
      <c r="N7" t="s">
        <v>28</v>
      </c>
      <c r="O7" t="s">
        <v>84</v>
      </c>
      <c r="P7" t="s">
        <v>75</v>
      </c>
      <c r="Q7" t="s">
        <v>81</v>
      </c>
      <c r="R7" t="s">
        <v>26</v>
      </c>
      <c r="S7" t="s">
        <v>85</v>
      </c>
      <c r="T7" t="s">
        <v>16</v>
      </c>
      <c r="U7" t="s">
        <v>76</v>
      </c>
      <c r="V7" t="s">
        <v>77</v>
      </c>
      <c r="W7" t="s">
        <v>96</v>
      </c>
      <c r="X7" t="s">
        <v>22</v>
      </c>
      <c r="Y7" t="s">
        <v>17</v>
      </c>
      <c r="Z7" t="s">
        <v>79</v>
      </c>
      <c r="AA7" t="s">
        <v>83</v>
      </c>
      <c r="AB7" t="s">
        <v>48</v>
      </c>
      <c r="AC7" t="s">
        <v>91</v>
      </c>
      <c r="AD7" t="s">
        <v>18</v>
      </c>
      <c r="AE7" t="s">
        <v>83</v>
      </c>
      <c r="AF7" t="s">
        <v>22</v>
      </c>
      <c r="AH7" t="s">
        <v>31</v>
      </c>
      <c r="AI7" t="s">
        <v>86</v>
      </c>
      <c r="AJ7" t="s">
        <v>18</v>
      </c>
      <c r="AK7" t="s">
        <v>83</v>
      </c>
      <c r="AL7" t="s">
        <v>77</v>
      </c>
      <c r="AM7" t="s">
        <v>83</v>
      </c>
      <c r="AN7" t="s">
        <v>22</v>
      </c>
      <c r="AP7" s="1">
        <f>A7</f>
        <v>3</v>
      </c>
      <c r="BS7" s="8" t="str">
        <f>IF(MazeEditingIsOn,"Stop Maze Edit","Start Maze Edit")</f>
        <v>Start Maze Edit</v>
      </c>
    </row>
    <row r="8" spans="1:75" x14ac:dyDescent="0.45">
      <c r="A8" s="1">
        <v>4</v>
      </c>
      <c r="B8" t="s">
        <v>103</v>
      </c>
      <c r="D8" t="s">
        <v>89</v>
      </c>
      <c r="F8" t="s">
        <v>22</v>
      </c>
      <c r="H8" t="s">
        <v>22</v>
      </c>
      <c r="J8" t="s">
        <v>22</v>
      </c>
      <c r="L8" t="s">
        <v>22</v>
      </c>
      <c r="N8" t="s">
        <v>89</v>
      </c>
      <c r="R8" t="s">
        <v>89</v>
      </c>
      <c r="T8" t="s">
        <v>22</v>
      </c>
      <c r="V8" t="s">
        <v>97</v>
      </c>
      <c r="X8" t="s">
        <v>22</v>
      </c>
      <c r="Z8" t="s">
        <v>22</v>
      </c>
      <c r="AB8" t="s">
        <v>22</v>
      </c>
      <c r="AD8" t="s">
        <v>22</v>
      </c>
      <c r="AF8" t="s">
        <v>103</v>
      </c>
      <c r="AH8" t="s">
        <v>89</v>
      </c>
      <c r="AJ8" t="s">
        <v>97</v>
      </c>
      <c r="AL8" t="s">
        <v>22</v>
      </c>
      <c r="AN8" t="s">
        <v>103</v>
      </c>
      <c r="AP8" s="1">
        <f>A8</f>
        <v>4</v>
      </c>
    </row>
    <row r="9" spans="1:75" x14ac:dyDescent="0.45">
      <c r="A9" s="1">
        <v>5</v>
      </c>
      <c r="B9" t="s">
        <v>43</v>
      </c>
      <c r="C9" t="s">
        <v>85</v>
      </c>
      <c r="D9" t="s">
        <v>20</v>
      </c>
      <c r="E9" t="s">
        <v>86</v>
      </c>
      <c r="F9" t="s">
        <v>20</v>
      </c>
      <c r="G9" t="s">
        <v>17</v>
      </c>
      <c r="H9" t="s">
        <v>29</v>
      </c>
      <c r="I9" t="s">
        <v>96</v>
      </c>
      <c r="J9" t="s">
        <v>19</v>
      </c>
      <c r="K9" t="s">
        <v>81</v>
      </c>
      <c r="L9" t="s">
        <v>79</v>
      </c>
      <c r="M9" t="s">
        <v>82</v>
      </c>
      <c r="N9" t="s">
        <v>31</v>
      </c>
      <c r="O9" t="s">
        <v>86</v>
      </c>
      <c r="P9" t="s">
        <v>20</v>
      </c>
      <c r="Q9" t="s">
        <v>84</v>
      </c>
      <c r="R9" t="s">
        <v>20</v>
      </c>
      <c r="S9" t="s">
        <v>83</v>
      </c>
      <c r="T9" t="s">
        <v>33</v>
      </c>
      <c r="U9" t="s">
        <v>17</v>
      </c>
      <c r="V9" t="s">
        <v>59</v>
      </c>
      <c r="W9" t="s">
        <v>17</v>
      </c>
      <c r="X9" t="s">
        <v>26</v>
      </c>
      <c r="Y9" t="s">
        <v>81</v>
      </c>
      <c r="Z9" t="s">
        <v>24</v>
      </c>
      <c r="AA9" t="s">
        <v>86</v>
      </c>
      <c r="AB9" t="s">
        <v>79</v>
      </c>
      <c r="AC9" t="s">
        <v>81</v>
      </c>
      <c r="AD9" t="s">
        <v>19</v>
      </c>
      <c r="AE9" t="s">
        <v>85</v>
      </c>
      <c r="AF9" t="s">
        <v>55</v>
      </c>
      <c r="AG9" t="s">
        <v>83</v>
      </c>
      <c r="AH9" t="s">
        <v>17</v>
      </c>
      <c r="AI9" t="s">
        <v>81</v>
      </c>
      <c r="AJ9" t="s">
        <v>16</v>
      </c>
      <c r="AK9" t="s">
        <v>81</v>
      </c>
      <c r="AL9" t="s">
        <v>31</v>
      </c>
      <c r="AM9" t="s">
        <v>83</v>
      </c>
      <c r="AN9" t="s">
        <v>36</v>
      </c>
      <c r="AP9" s="1">
        <f>A9</f>
        <v>5</v>
      </c>
      <c r="BS9" s="14" t="s">
        <v>14</v>
      </c>
    </row>
    <row r="10" spans="1:75" x14ac:dyDescent="0.45">
      <c r="A10" s="1">
        <v>6</v>
      </c>
      <c r="B10" t="s">
        <v>97</v>
      </c>
      <c r="F10" t="s">
        <v>89</v>
      </c>
      <c r="H10" t="s">
        <v>97</v>
      </c>
      <c r="J10" t="s">
        <v>97</v>
      </c>
      <c r="L10" t="s">
        <v>97</v>
      </c>
      <c r="P10" t="s">
        <v>89</v>
      </c>
      <c r="R10" t="s">
        <v>89</v>
      </c>
      <c r="T10" t="s">
        <v>103</v>
      </c>
      <c r="V10" t="s">
        <v>103</v>
      </c>
      <c r="X10" t="s">
        <v>89</v>
      </c>
      <c r="Z10" t="s">
        <v>89</v>
      </c>
      <c r="AD10" t="s">
        <v>89</v>
      </c>
      <c r="AF10" t="s">
        <v>22</v>
      </c>
      <c r="AH10" t="s">
        <v>89</v>
      </c>
      <c r="AJ10" t="s">
        <v>22</v>
      </c>
      <c r="AL10" t="s">
        <v>22</v>
      </c>
      <c r="AN10" t="s">
        <v>97</v>
      </c>
      <c r="AP10" s="1">
        <f>A10</f>
        <v>6</v>
      </c>
      <c r="BS10" s="7" t="b">
        <v>0</v>
      </c>
    </row>
    <row r="11" spans="1:75" x14ac:dyDescent="0.45">
      <c r="A11" s="1">
        <v>7</v>
      </c>
      <c r="B11" t="s">
        <v>22</v>
      </c>
      <c r="C11" t="s">
        <v>17</v>
      </c>
      <c r="D11" t="s">
        <v>21</v>
      </c>
      <c r="E11" t="s">
        <v>86</v>
      </c>
      <c r="F11" t="s">
        <v>18</v>
      </c>
      <c r="G11" t="s">
        <v>17</v>
      </c>
      <c r="H11" t="s">
        <v>27</v>
      </c>
      <c r="I11" t="s">
        <v>83</v>
      </c>
      <c r="J11" t="s">
        <v>16</v>
      </c>
      <c r="K11" t="s">
        <v>85</v>
      </c>
      <c r="L11" t="s">
        <v>27</v>
      </c>
      <c r="M11" t="s">
        <v>83</v>
      </c>
      <c r="N11" t="s">
        <v>17</v>
      </c>
      <c r="O11" t="s">
        <v>86</v>
      </c>
      <c r="P11" t="s">
        <v>17</v>
      </c>
      <c r="Q11" t="s">
        <v>17</v>
      </c>
      <c r="R11" t="s">
        <v>24</v>
      </c>
      <c r="S11" t="s">
        <v>83</v>
      </c>
      <c r="T11" t="s">
        <v>79</v>
      </c>
      <c r="V11" t="s">
        <v>31</v>
      </c>
      <c r="W11" t="s">
        <v>86</v>
      </c>
      <c r="X11" t="s">
        <v>18</v>
      </c>
      <c r="Y11" t="s">
        <v>83</v>
      </c>
      <c r="Z11" t="s">
        <v>26</v>
      </c>
      <c r="AA11" t="s">
        <v>84</v>
      </c>
      <c r="AB11" t="s">
        <v>24</v>
      </c>
      <c r="AC11" t="s">
        <v>81</v>
      </c>
      <c r="AD11" t="s">
        <v>19</v>
      </c>
      <c r="AE11" t="s">
        <v>88</v>
      </c>
      <c r="AF11" t="s">
        <v>22</v>
      </c>
      <c r="AG11" t="s">
        <v>81</v>
      </c>
      <c r="AH11" t="s">
        <v>27</v>
      </c>
      <c r="AI11" t="s">
        <v>81</v>
      </c>
      <c r="AJ11" t="s">
        <v>17</v>
      </c>
      <c r="AK11" t="s">
        <v>84</v>
      </c>
      <c r="AL11" t="s">
        <v>24</v>
      </c>
      <c r="AM11" t="s">
        <v>76</v>
      </c>
      <c r="AN11" t="s">
        <v>79</v>
      </c>
      <c r="AP11" s="1">
        <f>A11</f>
        <v>7</v>
      </c>
      <c r="BS11" s="8" t="e">
        <f>IF(TranversingIsOn,"Stop Traversing","Start Traversing")</f>
        <v>#NAME?</v>
      </c>
    </row>
    <row r="12" spans="1:75" x14ac:dyDescent="0.45">
      <c r="A12" s="1">
        <v>8</v>
      </c>
      <c r="B12" t="s">
        <v>97</v>
      </c>
      <c r="D12" t="s">
        <v>97</v>
      </c>
      <c r="F12" t="s">
        <v>89</v>
      </c>
      <c r="H12" t="s">
        <v>89</v>
      </c>
      <c r="J12" t="s">
        <v>89</v>
      </c>
      <c r="L12" t="s">
        <v>22</v>
      </c>
      <c r="N12" t="s">
        <v>89</v>
      </c>
      <c r="P12" t="s">
        <v>89</v>
      </c>
      <c r="R12" t="s">
        <v>89</v>
      </c>
      <c r="T12" t="s">
        <v>89</v>
      </c>
      <c r="V12" t="s">
        <v>22</v>
      </c>
      <c r="X12" t="s">
        <v>103</v>
      </c>
      <c r="Z12" t="s">
        <v>22</v>
      </c>
      <c r="AB12" t="s">
        <v>22</v>
      </c>
      <c r="AD12" t="s">
        <v>97</v>
      </c>
      <c r="AF12" t="s">
        <v>103</v>
      </c>
      <c r="AH12" t="s">
        <v>89</v>
      </c>
      <c r="AJ12" t="s">
        <v>89</v>
      </c>
      <c r="AL12" t="s">
        <v>97</v>
      </c>
      <c r="AN12" t="s">
        <v>89</v>
      </c>
      <c r="AP12" s="1">
        <f>A12</f>
        <v>8</v>
      </c>
    </row>
    <row r="13" spans="1:75" x14ac:dyDescent="0.45">
      <c r="A13" s="1">
        <v>9</v>
      </c>
      <c r="B13" t="s">
        <v>22</v>
      </c>
      <c r="C13" t="s">
        <v>83</v>
      </c>
      <c r="D13" t="s">
        <v>79</v>
      </c>
      <c r="E13" t="s">
        <v>17</v>
      </c>
      <c r="F13" t="s">
        <v>19</v>
      </c>
      <c r="G13" t="s">
        <v>83</v>
      </c>
      <c r="H13" t="s">
        <v>31</v>
      </c>
      <c r="I13" t="s">
        <v>17</v>
      </c>
      <c r="J13" t="s">
        <v>18</v>
      </c>
      <c r="K13" t="s">
        <v>86</v>
      </c>
      <c r="L13" t="s">
        <v>31</v>
      </c>
      <c r="M13" t="s">
        <v>86</v>
      </c>
      <c r="N13" t="s">
        <v>20</v>
      </c>
      <c r="O13" t="s">
        <v>17</v>
      </c>
      <c r="P13" t="s">
        <v>18</v>
      </c>
      <c r="Q13" t="s">
        <v>76</v>
      </c>
      <c r="R13" t="s">
        <v>22</v>
      </c>
      <c r="T13" t="s">
        <v>27</v>
      </c>
      <c r="U13" t="s">
        <v>86</v>
      </c>
      <c r="V13" t="s">
        <v>24</v>
      </c>
      <c r="W13" t="s">
        <v>17</v>
      </c>
      <c r="X13" t="s">
        <v>19</v>
      </c>
      <c r="Y13" t="s">
        <v>83</v>
      </c>
      <c r="Z13" t="s">
        <v>21</v>
      </c>
      <c r="AA13" t="s">
        <v>84</v>
      </c>
      <c r="AB13" t="s">
        <v>29</v>
      </c>
      <c r="AC13" t="s">
        <v>96</v>
      </c>
      <c r="AD13" t="s">
        <v>19</v>
      </c>
      <c r="AE13" t="s">
        <v>17</v>
      </c>
      <c r="AF13" t="s">
        <v>79</v>
      </c>
      <c r="AG13" t="s">
        <v>76</v>
      </c>
      <c r="AH13" t="s">
        <v>31</v>
      </c>
      <c r="AI13" t="s">
        <v>91</v>
      </c>
      <c r="AJ13" t="s">
        <v>18</v>
      </c>
      <c r="AK13" t="s">
        <v>76</v>
      </c>
      <c r="AL13" t="s">
        <v>26</v>
      </c>
      <c r="AM13" t="s">
        <v>81</v>
      </c>
      <c r="AN13" t="s">
        <v>24</v>
      </c>
      <c r="AP13" s="1">
        <f>A13</f>
        <v>9</v>
      </c>
      <c r="BS13" s="14" t="s">
        <v>15</v>
      </c>
    </row>
    <row r="14" spans="1:75" x14ac:dyDescent="0.45">
      <c r="A14" s="1">
        <v>10</v>
      </c>
      <c r="B14" t="s">
        <v>97</v>
      </c>
      <c r="D14" t="s">
        <v>89</v>
      </c>
      <c r="F14" t="s">
        <v>89</v>
      </c>
      <c r="H14" t="s">
        <v>22</v>
      </c>
      <c r="J14" t="s">
        <v>97</v>
      </c>
      <c r="L14" t="s">
        <v>22</v>
      </c>
      <c r="N14" t="s">
        <v>22</v>
      </c>
      <c r="P14" t="s">
        <v>97</v>
      </c>
      <c r="R14" t="s">
        <v>103</v>
      </c>
      <c r="T14" t="s">
        <v>103</v>
      </c>
      <c r="V14" t="s">
        <v>89</v>
      </c>
      <c r="X14" t="s">
        <v>89</v>
      </c>
      <c r="Z14" t="s">
        <v>97</v>
      </c>
      <c r="AB14" t="s">
        <v>22</v>
      </c>
      <c r="AD14" t="s">
        <v>89</v>
      </c>
      <c r="AF14" t="s">
        <v>22</v>
      </c>
      <c r="AH14" t="s">
        <v>22</v>
      </c>
      <c r="AJ14" t="s">
        <v>89</v>
      </c>
      <c r="AL14" t="s">
        <v>89</v>
      </c>
      <c r="AN14" t="s">
        <v>97</v>
      </c>
      <c r="AP14" s="1">
        <f>A14</f>
        <v>10</v>
      </c>
      <c r="BS14" s="5" t="s">
        <v>74</v>
      </c>
    </row>
    <row r="15" spans="1:75" x14ac:dyDescent="0.45">
      <c r="A15" s="1">
        <v>11</v>
      </c>
      <c r="B15" t="s">
        <v>26</v>
      </c>
      <c r="C15" t="s">
        <v>86</v>
      </c>
      <c r="D15" t="s">
        <v>38</v>
      </c>
      <c r="E15" t="s">
        <v>86</v>
      </c>
      <c r="F15" t="s">
        <v>16</v>
      </c>
      <c r="G15" t="s">
        <v>17</v>
      </c>
      <c r="H15" t="s">
        <v>27</v>
      </c>
      <c r="I15" t="s">
        <v>86</v>
      </c>
      <c r="J15" t="s">
        <v>16</v>
      </c>
      <c r="K15" t="s">
        <v>17</v>
      </c>
      <c r="L15" t="s">
        <v>27</v>
      </c>
      <c r="M15" t="s">
        <v>81</v>
      </c>
      <c r="N15" t="s">
        <v>17</v>
      </c>
      <c r="O15" t="s">
        <v>84</v>
      </c>
      <c r="P15" t="s">
        <v>16</v>
      </c>
      <c r="Q15" t="s">
        <v>82</v>
      </c>
      <c r="R15" t="s">
        <v>26</v>
      </c>
      <c r="S15" t="s">
        <v>83</v>
      </c>
      <c r="T15" t="s">
        <v>16</v>
      </c>
      <c r="U15" t="s">
        <v>17</v>
      </c>
      <c r="V15" t="s">
        <v>22</v>
      </c>
      <c r="W15" t="s">
        <v>76</v>
      </c>
      <c r="X15" t="s">
        <v>19</v>
      </c>
      <c r="Y15" t="s">
        <v>17</v>
      </c>
      <c r="Z15" t="s">
        <v>26</v>
      </c>
      <c r="AA15" t="s">
        <v>85</v>
      </c>
      <c r="AB15" t="s">
        <v>24</v>
      </c>
      <c r="AC15" t="s">
        <v>83</v>
      </c>
      <c r="AD15" t="s">
        <v>19</v>
      </c>
      <c r="AE15" t="s">
        <v>81</v>
      </c>
      <c r="AF15" t="s">
        <v>21</v>
      </c>
      <c r="AG15" t="s">
        <v>86</v>
      </c>
      <c r="AH15" t="s">
        <v>18</v>
      </c>
      <c r="AI15" t="s">
        <v>83</v>
      </c>
      <c r="AJ15" t="s">
        <v>31</v>
      </c>
      <c r="AK15" t="s">
        <v>81</v>
      </c>
      <c r="AL15" t="s">
        <v>18</v>
      </c>
      <c r="AM15" t="s">
        <v>83</v>
      </c>
      <c r="AN15" t="s">
        <v>22</v>
      </c>
      <c r="AP15" s="1">
        <f>A15</f>
        <v>11</v>
      </c>
    </row>
    <row r="16" spans="1:75" x14ac:dyDescent="0.45">
      <c r="A16" s="1">
        <v>12</v>
      </c>
      <c r="B16" t="s">
        <v>97</v>
      </c>
      <c r="D16" t="s">
        <v>22</v>
      </c>
      <c r="F16" t="s">
        <v>22</v>
      </c>
      <c r="H16" t="s">
        <v>97</v>
      </c>
      <c r="L16" t="s">
        <v>97</v>
      </c>
      <c r="N16" t="s">
        <v>22</v>
      </c>
      <c r="R16" t="s">
        <v>22</v>
      </c>
      <c r="T16" t="s">
        <v>22</v>
      </c>
      <c r="V16" t="s">
        <v>97</v>
      </c>
      <c r="X16" t="s">
        <v>97</v>
      </c>
      <c r="Z16" t="s">
        <v>22</v>
      </c>
      <c r="AB16" t="s">
        <v>97</v>
      </c>
      <c r="AD16" t="s">
        <v>97</v>
      </c>
      <c r="AF16" t="s">
        <v>97</v>
      </c>
      <c r="AH16" t="s">
        <v>22</v>
      </c>
      <c r="AJ16" t="s">
        <v>22</v>
      </c>
      <c r="AL16" t="s">
        <v>89</v>
      </c>
      <c r="AN16" t="s">
        <v>103</v>
      </c>
      <c r="AP16" s="1">
        <f>A16</f>
        <v>12</v>
      </c>
      <c r="BS16" s="3"/>
    </row>
    <row r="17" spans="1:114" x14ac:dyDescent="0.45">
      <c r="A17" s="1">
        <v>13</v>
      </c>
      <c r="B17" t="s">
        <v>21</v>
      </c>
      <c r="C17" t="s">
        <v>92</v>
      </c>
      <c r="D17" t="s">
        <v>29</v>
      </c>
      <c r="E17" t="s">
        <v>17</v>
      </c>
      <c r="F17" t="s">
        <v>27</v>
      </c>
      <c r="G17" t="s">
        <v>91</v>
      </c>
      <c r="H17" t="s">
        <v>16</v>
      </c>
      <c r="I17" t="s">
        <v>83</v>
      </c>
      <c r="J17" t="s">
        <v>21</v>
      </c>
      <c r="K17" t="s">
        <v>90</v>
      </c>
      <c r="L17" t="s">
        <v>41</v>
      </c>
      <c r="M17" t="s">
        <v>90</v>
      </c>
      <c r="N17" t="s">
        <v>18</v>
      </c>
      <c r="O17" t="s">
        <v>86</v>
      </c>
      <c r="P17" t="s">
        <v>21</v>
      </c>
      <c r="Q17" t="s">
        <v>83</v>
      </c>
      <c r="R17" t="s">
        <v>20</v>
      </c>
      <c r="S17" t="s">
        <v>81</v>
      </c>
      <c r="T17" t="s">
        <v>18</v>
      </c>
      <c r="U17" t="s">
        <v>76</v>
      </c>
      <c r="V17" t="s">
        <v>26</v>
      </c>
      <c r="W17" t="s">
        <v>17</v>
      </c>
      <c r="X17" t="s">
        <v>23</v>
      </c>
      <c r="Y17" t="s">
        <v>86</v>
      </c>
      <c r="Z17" t="s">
        <v>75</v>
      </c>
      <c r="AA17" t="s">
        <v>17</v>
      </c>
      <c r="AB17" t="s">
        <v>22</v>
      </c>
      <c r="AC17" t="s">
        <v>76</v>
      </c>
      <c r="AD17" t="s">
        <v>31</v>
      </c>
      <c r="AE17" t="s">
        <v>81</v>
      </c>
      <c r="AF17" t="s">
        <v>29</v>
      </c>
      <c r="AG17" t="s">
        <v>76</v>
      </c>
      <c r="AH17" t="s">
        <v>31</v>
      </c>
      <c r="AI17" t="s">
        <v>81</v>
      </c>
      <c r="AJ17" t="s">
        <v>18</v>
      </c>
      <c r="AK17" t="s">
        <v>86</v>
      </c>
      <c r="AL17" t="s">
        <v>19</v>
      </c>
      <c r="AM17" t="s">
        <v>76</v>
      </c>
      <c r="AN17" t="s">
        <v>22</v>
      </c>
      <c r="AP17" s="1">
        <f>A17</f>
        <v>13</v>
      </c>
      <c r="BS17" s="3"/>
    </row>
    <row r="18" spans="1:114" x14ac:dyDescent="0.45">
      <c r="A18" s="1">
        <v>14</v>
      </c>
      <c r="B18" t="s">
        <v>89</v>
      </c>
      <c r="D18" t="s">
        <v>22</v>
      </c>
      <c r="F18" t="s">
        <v>97</v>
      </c>
      <c r="J18" t="s">
        <v>103</v>
      </c>
      <c r="L18" t="s">
        <v>22</v>
      </c>
      <c r="N18" t="s">
        <v>89</v>
      </c>
      <c r="P18" t="s">
        <v>89</v>
      </c>
      <c r="R18" t="s">
        <v>22</v>
      </c>
      <c r="T18" t="s">
        <v>89</v>
      </c>
      <c r="V18" t="s">
        <v>89</v>
      </c>
      <c r="X18" t="s">
        <v>22</v>
      </c>
      <c r="Z18" t="s">
        <v>22</v>
      </c>
      <c r="AB18" t="s">
        <v>89</v>
      </c>
      <c r="AD18" t="s">
        <v>22</v>
      </c>
      <c r="AF18" t="s">
        <v>22</v>
      </c>
      <c r="AH18" t="s">
        <v>89</v>
      </c>
      <c r="AJ18" t="s">
        <v>22</v>
      </c>
      <c r="AL18" t="s">
        <v>89</v>
      </c>
      <c r="AN18" t="s">
        <v>89</v>
      </c>
      <c r="AP18" s="1">
        <f>A18</f>
        <v>14</v>
      </c>
      <c r="BS18" s="3"/>
    </row>
    <row r="19" spans="1:114" x14ac:dyDescent="0.45">
      <c r="A19" s="1">
        <v>15</v>
      </c>
      <c r="B19" t="s">
        <v>22</v>
      </c>
      <c r="C19" t="s">
        <v>83</v>
      </c>
      <c r="D19" t="s">
        <v>27</v>
      </c>
      <c r="E19" t="s">
        <v>81</v>
      </c>
      <c r="F19" t="s">
        <v>16</v>
      </c>
      <c r="G19" t="s">
        <v>85</v>
      </c>
      <c r="H19" t="s">
        <v>77</v>
      </c>
      <c r="I19" t="s">
        <v>76</v>
      </c>
      <c r="J19" t="s">
        <v>26</v>
      </c>
      <c r="K19" t="s">
        <v>17</v>
      </c>
      <c r="L19" t="s">
        <v>24</v>
      </c>
      <c r="M19" t="s">
        <v>96</v>
      </c>
      <c r="N19" t="s">
        <v>19</v>
      </c>
      <c r="O19" t="s">
        <v>81</v>
      </c>
      <c r="P19" t="s">
        <v>26</v>
      </c>
      <c r="Q19" t="s">
        <v>84</v>
      </c>
      <c r="R19" t="s">
        <v>24</v>
      </c>
      <c r="S19" t="s">
        <v>17</v>
      </c>
      <c r="T19" t="s">
        <v>31</v>
      </c>
      <c r="U19" t="s">
        <v>104</v>
      </c>
      <c r="V19" t="s">
        <v>18</v>
      </c>
      <c r="W19" t="s">
        <v>17</v>
      </c>
      <c r="X19" t="s">
        <v>21</v>
      </c>
      <c r="Y19" t="s">
        <v>83</v>
      </c>
      <c r="Z19" t="s">
        <v>20</v>
      </c>
      <c r="AA19" t="s">
        <v>81</v>
      </c>
      <c r="AB19" t="s">
        <v>29</v>
      </c>
      <c r="AC19" t="s">
        <v>81</v>
      </c>
      <c r="AD19" t="s">
        <v>27</v>
      </c>
      <c r="AE19" t="s">
        <v>86</v>
      </c>
      <c r="AF19" t="s">
        <v>17</v>
      </c>
      <c r="AG19" t="s">
        <v>17</v>
      </c>
      <c r="AH19" t="s">
        <v>24</v>
      </c>
      <c r="AI19" t="s">
        <v>96</v>
      </c>
      <c r="AJ19" t="s">
        <v>19</v>
      </c>
      <c r="AK19" t="s">
        <v>17</v>
      </c>
      <c r="AL19" t="s">
        <v>19</v>
      </c>
      <c r="AM19" t="s">
        <v>76</v>
      </c>
      <c r="AN19" t="s">
        <v>22</v>
      </c>
      <c r="AP19" s="1">
        <f>A19</f>
        <v>15</v>
      </c>
      <c r="BS19" s="3"/>
    </row>
    <row r="20" spans="1:114" x14ac:dyDescent="0.45">
      <c r="A20" s="1">
        <v>16</v>
      </c>
      <c r="B20" t="s">
        <v>89</v>
      </c>
      <c r="D20" t="s">
        <v>89</v>
      </c>
      <c r="F20" t="s">
        <v>22</v>
      </c>
      <c r="H20" t="s">
        <v>103</v>
      </c>
      <c r="J20" t="s">
        <v>89</v>
      </c>
      <c r="L20" t="s">
        <v>97</v>
      </c>
      <c r="N20" t="s">
        <v>89</v>
      </c>
      <c r="R20" t="s">
        <v>89</v>
      </c>
      <c r="T20" t="s">
        <v>22</v>
      </c>
      <c r="V20" t="s">
        <v>89</v>
      </c>
      <c r="X20" t="s">
        <v>97</v>
      </c>
      <c r="Z20" t="s">
        <v>89</v>
      </c>
      <c r="AB20" t="s">
        <v>22</v>
      </c>
      <c r="AD20" t="s">
        <v>97</v>
      </c>
      <c r="AF20" t="s">
        <v>89</v>
      </c>
      <c r="AH20" t="s">
        <v>89</v>
      </c>
      <c r="AJ20" t="s">
        <v>97</v>
      </c>
      <c r="AL20" t="s">
        <v>97</v>
      </c>
      <c r="AN20" t="s">
        <v>103</v>
      </c>
      <c r="AP20" s="1">
        <f>A20</f>
        <v>16</v>
      </c>
    </row>
    <row r="21" spans="1:114" x14ac:dyDescent="0.45">
      <c r="A21" s="1">
        <v>17</v>
      </c>
      <c r="B21" t="s">
        <v>79</v>
      </c>
      <c r="C21" t="s">
        <v>83</v>
      </c>
      <c r="D21" t="s">
        <v>19</v>
      </c>
      <c r="F21" t="s">
        <v>77</v>
      </c>
      <c r="G21" t="s">
        <v>83</v>
      </c>
      <c r="H21" t="s">
        <v>43</v>
      </c>
      <c r="I21" t="s">
        <v>17</v>
      </c>
      <c r="J21" t="s">
        <v>20</v>
      </c>
      <c r="K21" t="s">
        <v>81</v>
      </c>
      <c r="L21" t="s">
        <v>29</v>
      </c>
      <c r="M21" t="s">
        <v>76</v>
      </c>
      <c r="N21" t="s">
        <v>31</v>
      </c>
      <c r="O21" t="s">
        <v>90</v>
      </c>
      <c r="P21" t="s">
        <v>18</v>
      </c>
      <c r="Q21" t="s">
        <v>88</v>
      </c>
      <c r="R21" t="s">
        <v>22</v>
      </c>
      <c r="S21" t="s">
        <v>81</v>
      </c>
      <c r="T21" t="s">
        <v>77</v>
      </c>
      <c r="U21" t="s">
        <v>76</v>
      </c>
      <c r="V21" t="s">
        <v>19</v>
      </c>
      <c r="W21" t="s">
        <v>17</v>
      </c>
      <c r="X21" t="s">
        <v>26</v>
      </c>
      <c r="Y21" t="s">
        <v>81</v>
      </c>
      <c r="Z21" t="s">
        <v>24</v>
      </c>
      <c r="AA21" t="s">
        <v>17</v>
      </c>
      <c r="AB21" t="s">
        <v>21</v>
      </c>
      <c r="AC21" t="s">
        <v>86</v>
      </c>
      <c r="AD21" t="s">
        <v>37</v>
      </c>
      <c r="AE21" t="s">
        <v>17</v>
      </c>
      <c r="AF21" t="s">
        <v>18</v>
      </c>
      <c r="AG21" t="s">
        <v>96</v>
      </c>
      <c r="AH21" t="s">
        <v>26</v>
      </c>
      <c r="AI21" t="s">
        <v>81</v>
      </c>
      <c r="AJ21" t="s">
        <v>16</v>
      </c>
      <c r="AK21" t="s">
        <v>85</v>
      </c>
      <c r="AL21" t="s">
        <v>19</v>
      </c>
      <c r="AM21" t="s">
        <v>76</v>
      </c>
      <c r="AN21" t="s">
        <v>22</v>
      </c>
      <c r="AP21" s="1">
        <f>A21</f>
        <v>17</v>
      </c>
    </row>
    <row r="22" spans="1:114" x14ac:dyDescent="0.45">
      <c r="A22" s="1">
        <v>18</v>
      </c>
      <c r="B22" t="s">
        <v>89</v>
      </c>
      <c r="D22" t="s">
        <v>89</v>
      </c>
      <c r="F22" t="s">
        <v>103</v>
      </c>
      <c r="H22" t="s">
        <v>97</v>
      </c>
      <c r="J22" t="s">
        <v>22</v>
      </c>
      <c r="L22" t="s">
        <v>89</v>
      </c>
      <c r="N22" t="s">
        <v>89</v>
      </c>
      <c r="P22" t="s">
        <v>89</v>
      </c>
      <c r="R22" t="s">
        <v>97</v>
      </c>
      <c r="T22" t="s">
        <v>89</v>
      </c>
      <c r="V22" t="s">
        <v>89</v>
      </c>
      <c r="X22" t="s">
        <v>89</v>
      </c>
      <c r="Z22" t="s">
        <v>89</v>
      </c>
      <c r="AB22" t="s">
        <v>97</v>
      </c>
      <c r="AD22" t="s">
        <v>89</v>
      </c>
      <c r="AF22" t="s">
        <v>89</v>
      </c>
      <c r="AJ22" t="s">
        <v>22</v>
      </c>
      <c r="AL22" t="s">
        <v>22</v>
      </c>
      <c r="AN22" t="s">
        <v>97</v>
      </c>
      <c r="AP22" s="1">
        <f>A22</f>
        <v>18</v>
      </c>
    </row>
    <row r="23" spans="1:114" x14ac:dyDescent="0.45">
      <c r="A23" s="1">
        <v>19</v>
      </c>
      <c r="B23" t="s">
        <v>27</v>
      </c>
      <c r="C23" t="s">
        <v>86</v>
      </c>
      <c r="D23" t="s">
        <v>16</v>
      </c>
      <c r="E23" t="s">
        <v>83</v>
      </c>
      <c r="F23" t="s">
        <v>31</v>
      </c>
      <c r="G23" t="s">
        <v>17</v>
      </c>
      <c r="H23" t="s">
        <v>29</v>
      </c>
      <c r="I23" t="s">
        <v>76</v>
      </c>
      <c r="J23" t="s">
        <v>27</v>
      </c>
      <c r="K23" t="s">
        <v>17</v>
      </c>
      <c r="L23" t="s">
        <v>17</v>
      </c>
      <c r="M23" t="s">
        <v>84</v>
      </c>
      <c r="N23" t="s">
        <v>17</v>
      </c>
      <c r="O23" t="s">
        <v>85</v>
      </c>
      <c r="P23" t="s">
        <v>47</v>
      </c>
      <c r="Q23" t="s">
        <v>76</v>
      </c>
      <c r="R23" t="s">
        <v>26</v>
      </c>
      <c r="S23" t="s">
        <v>86</v>
      </c>
      <c r="T23" t="s">
        <v>47</v>
      </c>
      <c r="V23" t="s">
        <v>31</v>
      </c>
      <c r="W23" t="s">
        <v>104</v>
      </c>
      <c r="X23" t="s">
        <v>20</v>
      </c>
      <c r="Y23" t="s">
        <v>84</v>
      </c>
      <c r="Z23" t="s">
        <v>29</v>
      </c>
      <c r="AA23" t="s">
        <v>81</v>
      </c>
      <c r="AB23" t="s">
        <v>26</v>
      </c>
      <c r="AC23" t="s">
        <v>81</v>
      </c>
      <c r="AD23" t="s">
        <v>75</v>
      </c>
      <c r="AE23" t="s">
        <v>85</v>
      </c>
      <c r="AF23" t="s">
        <v>19</v>
      </c>
      <c r="AG23" t="s">
        <v>83</v>
      </c>
      <c r="AH23" t="s">
        <v>27</v>
      </c>
      <c r="AI23" t="s">
        <v>84</v>
      </c>
      <c r="AJ23" t="s">
        <v>24</v>
      </c>
      <c r="AK23" t="s">
        <v>83</v>
      </c>
      <c r="AL23" t="s">
        <v>19</v>
      </c>
      <c r="AM23" t="s">
        <v>83</v>
      </c>
      <c r="AN23" t="s">
        <v>22</v>
      </c>
      <c r="AP23" s="1">
        <f>A23</f>
        <v>19</v>
      </c>
    </row>
    <row r="24" spans="1:114" x14ac:dyDescent="0.45">
      <c r="A24" s="1">
        <f>BU47</f>
        <v>20</v>
      </c>
      <c r="B24" t="s">
        <v>103</v>
      </c>
      <c r="D24" t="s">
        <v>22</v>
      </c>
      <c r="H24" t="s">
        <v>89</v>
      </c>
      <c r="J24" t="s">
        <v>103</v>
      </c>
      <c r="L24" t="s">
        <v>22</v>
      </c>
      <c r="N24" t="s">
        <v>22</v>
      </c>
      <c r="P24" t="s">
        <v>89</v>
      </c>
      <c r="R24" t="s">
        <v>22</v>
      </c>
      <c r="T24" t="s">
        <v>97</v>
      </c>
      <c r="V24" t="s">
        <v>89</v>
      </c>
      <c r="AD24" t="s">
        <v>22</v>
      </c>
      <c r="AF24" t="s">
        <v>89</v>
      </c>
      <c r="AH24" t="s">
        <v>103</v>
      </c>
      <c r="AJ24" t="s">
        <v>97</v>
      </c>
      <c r="AL24" t="s">
        <v>97</v>
      </c>
      <c r="AN24" t="s">
        <v>89</v>
      </c>
      <c r="AP24" s="1">
        <f>A24</f>
        <v>20</v>
      </c>
    </row>
    <row r="25" spans="1:114" x14ac:dyDescent="0.45">
      <c r="A25" s="1">
        <f>BU48</f>
        <v>21</v>
      </c>
      <c r="B25" t="s">
        <v>31</v>
      </c>
      <c r="C25" t="s">
        <v>17</v>
      </c>
      <c r="D25" t="s">
        <v>20</v>
      </c>
      <c r="E25" t="s">
        <v>92</v>
      </c>
      <c r="F25" t="s">
        <v>18</v>
      </c>
      <c r="G25" t="s">
        <v>76</v>
      </c>
      <c r="H25" t="s">
        <v>77</v>
      </c>
      <c r="J25" t="s">
        <v>19</v>
      </c>
      <c r="K25" t="s">
        <v>88</v>
      </c>
      <c r="L25" t="s">
        <v>76</v>
      </c>
      <c r="M25" t="s">
        <v>84</v>
      </c>
      <c r="N25" t="s">
        <v>20</v>
      </c>
      <c r="O25" t="s">
        <v>81</v>
      </c>
      <c r="P25" t="s">
        <v>29</v>
      </c>
      <c r="Q25" t="s">
        <v>83</v>
      </c>
      <c r="R25" t="s">
        <v>21</v>
      </c>
      <c r="S25" t="s">
        <v>17</v>
      </c>
      <c r="T25" t="s">
        <v>29</v>
      </c>
      <c r="U25" t="s">
        <v>81</v>
      </c>
      <c r="V25" t="s">
        <v>76</v>
      </c>
      <c r="W25" t="s">
        <v>83</v>
      </c>
      <c r="X25" t="s">
        <v>20</v>
      </c>
      <c r="Y25" t="s">
        <v>81</v>
      </c>
      <c r="Z25" t="s">
        <v>39</v>
      </c>
      <c r="AA25" t="s">
        <v>84</v>
      </c>
      <c r="AB25" t="s">
        <v>32</v>
      </c>
      <c r="AC25" t="s">
        <v>91</v>
      </c>
      <c r="AD25" t="s">
        <v>17</v>
      </c>
      <c r="AE25" t="s">
        <v>86</v>
      </c>
      <c r="AF25" t="s">
        <v>16</v>
      </c>
      <c r="AH25" t="s">
        <v>19</v>
      </c>
      <c r="AI25" t="s">
        <v>17</v>
      </c>
      <c r="AJ25" t="s">
        <v>26</v>
      </c>
      <c r="AK25" t="s">
        <v>81</v>
      </c>
      <c r="AL25" t="s">
        <v>16</v>
      </c>
      <c r="AM25" t="s">
        <v>83</v>
      </c>
      <c r="AN25" t="s">
        <v>22</v>
      </c>
      <c r="AP25" s="1">
        <f>A25</f>
        <v>21</v>
      </c>
    </row>
    <row r="26" spans="1:114" x14ac:dyDescent="0.45">
      <c r="A26" s="1">
        <f>BU49</f>
        <v>22</v>
      </c>
      <c r="B26" t="s">
        <v>97</v>
      </c>
      <c r="D26" t="s">
        <v>89</v>
      </c>
      <c r="F26" t="s">
        <v>89</v>
      </c>
      <c r="H26" t="s">
        <v>89</v>
      </c>
      <c r="J26" t="s">
        <v>97</v>
      </c>
      <c r="L26" t="s">
        <v>89</v>
      </c>
      <c r="N26" t="s">
        <v>89</v>
      </c>
      <c r="P26" t="s">
        <v>89</v>
      </c>
      <c r="R26" t="s">
        <v>89</v>
      </c>
      <c r="T26" t="s">
        <v>89</v>
      </c>
      <c r="X26" t="s">
        <v>97</v>
      </c>
      <c r="Z26" t="s">
        <v>103</v>
      </c>
      <c r="AB26" t="s">
        <v>22</v>
      </c>
      <c r="AD26" t="s">
        <v>97</v>
      </c>
      <c r="AF26" t="s">
        <v>89</v>
      </c>
      <c r="AH26" t="s">
        <v>97</v>
      </c>
      <c r="AJ26" t="s">
        <v>22</v>
      </c>
      <c r="AL26" t="s">
        <v>22</v>
      </c>
      <c r="AN26" t="s">
        <v>97</v>
      </c>
      <c r="AP26" s="1">
        <f>A26</f>
        <v>22</v>
      </c>
      <c r="CL26" s="2" t="s">
        <v>0</v>
      </c>
      <c r="CM26" s="16">
        <f>SUM(WholeMaze)</f>
        <v>0</v>
      </c>
      <c r="CN26" s="16"/>
      <c r="CO26" s="16"/>
    </row>
    <row r="27" spans="1:114" x14ac:dyDescent="0.45">
      <c r="A27" s="1">
        <f>BU50</f>
        <v>23</v>
      </c>
      <c r="B27" t="s">
        <v>27</v>
      </c>
      <c r="C27" t="s">
        <v>17</v>
      </c>
      <c r="D27" t="s">
        <v>17</v>
      </c>
      <c r="E27" t="s">
        <v>96</v>
      </c>
      <c r="F27" t="s">
        <v>47</v>
      </c>
      <c r="G27" t="s">
        <v>81</v>
      </c>
      <c r="H27" t="s">
        <v>22</v>
      </c>
      <c r="I27" t="s">
        <v>83</v>
      </c>
      <c r="J27" t="s">
        <v>19</v>
      </c>
      <c r="L27" t="s">
        <v>21</v>
      </c>
      <c r="M27" t="s">
        <v>96</v>
      </c>
      <c r="N27" t="s">
        <v>18</v>
      </c>
      <c r="O27" t="s">
        <v>17</v>
      </c>
      <c r="P27" t="s">
        <v>21</v>
      </c>
      <c r="Q27" t="s">
        <v>86</v>
      </c>
      <c r="R27" t="s">
        <v>78</v>
      </c>
      <c r="S27" t="s">
        <v>81</v>
      </c>
      <c r="T27" t="s">
        <v>17</v>
      </c>
      <c r="U27" t="s">
        <v>81</v>
      </c>
      <c r="V27" t="s">
        <v>17</v>
      </c>
      <c r="W27" t="s">
        <v>86</v>
      </c>
      <c r="X27" t="s">
        <v>24</v>
      </c>
      <c r="Z27" t="s">
        <v>79</v>
      </c>
      <c r="AA27" t="s">
        <v>76</v>
      </c>
      <c r="AB27" t="s">
        <v>19</v>
      </c>
      <c r="AC27" t="s">
        <v>85</v>
      </c>
      <c r="AD27" t="s">
        <v>27</v>
      </c>
      <c r="AE27" t="s">
        <v>83</v>
      </c>
      <c r="AF27" t="s">
        <v>24</v>
      </c>
      <c r="AG27" t="s">
        <v>82</v>
      </c>
      <c r="AH27" t="s">
        <v>19</v>
      </c>
      <c r="AI27" t="s">
        <v>83</v>
      </c>
      <c r="AJ27" t="s">
        <v>21</v>
      </c>
      <c r="AK27" t="s">
        <v>85</v>
      </c>
      <c r="AL27" t="s">
        <v>20</v>
      </c>
      <c r="AM27" t="s">
        <v>86</v>
      </c>
      <c r="AN27" t="s">
        <v>29</v>
      </c>
      <c r="AP27" s="1">
        <f>A27</f>
        <v>23</v>
      </c>
      <c r="BU27" s="11"/>
      <c r="BV27" s="11">
        <v>1</v>
      </c>
      <c r="BW27" s="11">
        <v>2</v>
      </c>
      <c r="BX27" s="11">
        <v>3</v>
      </c>
      <c r="BY27" s="11">
        <v>4</v>
      </c>
      <c r="BZ27" s="11">
        <v>5</v>
      </c>
      <c r="CA27" s="11">
        <v>6</v>
      </c>
      <c r="CB27" s="11">
        <v>7</v>
      </c>
      <c r="CC27" s="11">
        <v>8</v>
      </c>
      <c r="CD27" s="11">
        <v>9</v>
      </c>
      <c r="CE27" s="11">
        <v>10</v>
      </c>
      <c r="CF27" s="11">
        <v>11</v>
      </c>
      <c r="CG27" s="11">
        <v>12</v>
      </c>
      <c r="CH27" s="11">
        <v>13</v>
      </c>
      <c r="CI27" s="11">
        <v>14</v>
      </c>
      <c r="CJ27" s="11">
        <v>15</v>
      </c>
      <c r="CK27" s="11">
        <v>16</v>
      </c>
      <c r="CL27" s="11">
        <v>17</v>
      </c>
      <c r="CM27" s="11">
        <v>18</v>
      </c>
      <c r="CN27" s="11">
        <v>19</v>
      </c>
      <c r="CO27" s="11">
        <v>20</v>
      </c>
      <c r="CP27" s="11">
        <v>21</v>
      </c>
      <c r="CQ27" s="11">
        <v>22</v>
      </c>
      <c r="CR27" s="11">
        <v>23</v>
      </c>
      <c r="CS27" s="11">
        <v>24</v>
      </c>
      <c r="CT27" s="11">
        <v>25</v>
      </c>
      <c r="CU27" s="11">
        <v>26</v>
      </c>
      <c r="CV27" s="11">
        <v>27</v>
      </c>
      <c r="CW27" s="11">
        <v>28</v>
      </c>
      <c r="CX27" s="11">
        <v>29</v>
      </c>
      <c r="CY27" s="11">
        <v>30</v>
      </c>
      <c r="CZ27" s="11">
        <v>31</v>
      </c>
      <c r="DA27" s="11">
        <v>32</v>
      </c>
      <c r="DB27" s="11">
        <v>33</v>
      </c>
      <c r="DC27" s="11">
        <v>34</v>
      </c>
      <c r="DD27" s="11">
        <v>35</v>
      </c>
      <c r="DE27" s="11">
        <v>36</v>
      </c>
      <c r="DF27" s="11">
        <v>37</v>
      </c>
      <c r="DG27" s="11">
        <v>38</v>
      </c>
      <c r="DH27" s="11">
        <v>39</v>
      </c>
      <c r="DI27" s="11">
        <v>40</v>
      </c>
      <c r="DJ27" s="11"/>
    </row>
    <row r="28" spans="1:114" x14ac:dyDescent="0.45">
      <c r="A28" s="1">
        <f>BU51</f>
        <v>24</v>
      </c>
      <c r="B28" t="s">
        <v>103</v>
      </c>
      <c r="D28" t="s">
        <v>89</v>
      </c>
      <c r="F28" t="s">
        <v>89</v>
      </c>
      <c r="H28" t="s">
        <v>22</v>
      </c>
      <c r="J28" t="s">
        <v>89</v>
      </c>
      <c r="L28" t="s">
        <v>103</v>
      </c>
      <c r="N28" t="s">
        <v>97</v>
      </c>
      <c r="P28" t="s">
        <v>89</v>
      </c>
      <c r="R28" t="s">
        <v>89</v>
      </c>
      <c r="T28" t="s">
        <v>89</v>
      </c>
      <c r="V28" t="s">
        <v>89</v>
      </c>
      <c r="X28" t="s">
        <v>89</v>
      </c>
      <c r="Z28" t="s">
        <v>89</v>
      </c>
      <c r="AB28" t="s">
        <v>97</v>
      </c>
      <c r="AD28" t="s">
        <v>89</v>
      </c>
      <c r="AF28" t="s">
        <v>89</v>
      </c>
      <c r="AH28" t="s">
        <v>89</v>
      </c>
      <c r="AJ28" t="s">
        <v>103</v>
      </c>
      <c r="AL28" t="s">
        <v>22</v>
      </c>
      <c r="AN28" t="s">
        <v>89</v>
      </c>
      <c r="AP28" s="1">
        <f>A28</f>
        <v>24</v>
      </c>
      <c r="BU28" s="11">
        <v>1</v>
      </c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11">
        <f>BU28</f>
        <v>1</v>
      </c>
    </row>
    <row r="29" spans="1:114" x14ac:dyDescent="0.45">
      <c r="A29" s="1">
        <f>BU52</f>
        <v>25</v>
      </c>
      <c r="B29" t="s">
        <v>48</v>
      </c>
      <c r="C29" t="s">
        <v>81</v>
      </c>
      <c r="D29" t="s">
        <v>18</v>
      </c>
      <c r="E29" t="s">
        <v>81</v>
      </c>
      <c r="F29" t="s">
        <v>79</v>
      </c>
      <c r="G29" t="s">
        <v>81</v>
      </c>
      <c r="H29" t="s">
        <v>22</v>
      </c>
      <c r="I29" t="s">
        <v>81</v>
      </c>
      <c r="J29" t="s">
        <v>31</v>
      </c>
      <c r="K29" t="s">
        <v>104</v>
      </c>
      <c r="L29" t="s">
        <v>29</v>
      </c>
      <c r="M29" t="s">
        <v>17</v>
      </c>
      <c r="N29" t="s">
        <v>31</v>
      </c>
      <c r="O29" t="s">
        <v>86</v>
      </c>
      <c r="P29" t="s">
        <v>29</v>
      </c>
      <c r="Q29" t="s">
        <v>17</v>
      </c>
      <c r="R29" t="s">
        <v>27</v>
      </c>
      <c r="S29" t="s">
        <v>86</v>
      </c>
      <c r="T29" t="s">
        <v>17</v>
      </c>
      <c r="U29" t="s">
        <v>81</v>
      </c>
      <c r="V29" t="s">
        <v>24</v>
      </c>
      <c r="W29" t="s">
        <v>17</v>
      </c>
      <c r="X29" t="s">
        <v>26</v>
      </c>
      <c r="Y29" t="s">
        <v>83</v>
      </c>
      <c r="Z29" t="s">
        <v>24</v>
      </c>
      <c r="AB29" t="s">
        <v>19</v>
      </c>
      <c r="AC29" t="s">
        <v>81</v>
      </c>
      <c r="AD29" t="s">
        <v>19</v>
      </c>
      <c r="AE29" t="s">
        <v>83</v>
      </c>
      <c r="AF29" t="s">
        <v>26</v>
      </c>
      <c r="AG29" t="s">
        <v>86</v>
      </c>
      <c r="AH29" t="s">
        <v>16</v>
      </c>
      <c r="AI29" t="s">
        <v>17</v>
      </c>
      <c r="AJ29" t="s">
        <v>22</v>
      </c>
      <c r="AK29" t="s">
        <v>76</v>
      </c>
      <c r="AL29" t="s">
        <v>27</v>
      </c>
      <c r="AM29" t="s">
        <v>86</v>
      </c>
      <c r="AN29" t="s">
        <v>24</v>
      </c>
      <c r="AP29" s="1">
        <f>A29</f>
        <v>25</v>
      </c>
      <c r="BU29" s="11">
        <v>2</v>
      </c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11">
        <f>BU29</f>
        <v>2</v>
      </c>
    </row>
    <row r="30" spans="1:114" x14ac:dyDescent="0.45">
      <c r="A30" s="1">
        <f>BU53</f>
        <v>26</v>
      </c>
      <c r="B30" t="s">
        <v>103</v>
      </c>
      <c r="D30" t="s">
        <v>97</v>
      </c>
      <c r="H30" t="s">
        <v>22</v>
      </c>
      <c r="J30" t="s">
        <v>22</v>
      </c>
      <c r="N30" t="s">
        <v>22</v>
      </c>
      <c r="P30" t="s">
        <v>22</v>
      </c>
      <c r="R30" t="s">
        <v>97</v>
      </c>
      <c r="T30" t="s">
        <v>22</v>
      </c>
      <c r="V30" t="s">
        <v>97</v>
      </c>
      <c r="X30" t="s">
        <v>22</v>
      </c>
      <c r="Z30" t="s">
        <v>97</v>
      </c>
      <c r="AB30" t="s">
        <v>97</v>
      </c>
      <c r="AD30" t="s">
        <v>22</v>
      </c>
      <c r="AF30" t="s">
        <v>22</v>
      </c>
      <c r="AH30" t="s">
        <v>89</v>
      </c>
      <c r="AJ30" t="s">
        <v>22</v>
      </c>
      <c r="AL30" t="s">
        <v>89</v>
      </c>
      <c r="AN30" t="s">
        <v>103</v>
      </c>
      <c r="AP30" s="1">
        <f>A30</f>
        <v>26</v>
      </c>
      <c r="BU30" s="11">
        <v>3</v>
      </c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11">
        <f>BU30</f>
        <v>3</v>
      </c>
    </row>
    <row r="31" spans="1:114" x14ac:dyDescent="0.45">
      <c r="A31" s="1">
        <f>BU54</f>
        <v>27</v>
      </c>
      <c r="B31" t="s">
        <v>22</v>
      </c>
      <c r="C31" t="s">
        <v>17</v>
      </c>
      <c r="D31" t="s">
        <v>31</v>
      </c>
      <c r="E31" t="s">
        <v>81</v>
      </c>
      <c r="F31" t="s">
        <v>18</v>
      </c>
      <c r="G31" t="s">
        <v>85</v>
      </c>
      <c r="H31" t="s">
        <v>26</v>
      </c>
      <c r="I31" t="s">
        <v>86</v>
      </c>
      <c r="J31" t="s">
        <v>17</v>
      </c>
      <c r="K31" t="s">
        <v>92</v>
      </c>
      <c r="L31" t="s">
        <v>17</v>
      </c>
      <c r="M31" t="s">
        <v>81</v>
      </c>
      <c r="N31" t="s">
        <v>17</v>
      </c>
      <c r="O31" t="s">
        <v>91</v>
      </c>
      <c r="P31" t="s">
        <v>17</v>
      </c>
      <c r="Q31" t="s">
        <v>83</v>
      </c>
      <c r="R31" t="s">
        <v>16</v>
      </c>
      <c r="S31" t="s">
        <v>85</v>
      </c>
      <c r="T31" t="s">
        <v>21</v>
      </c>
      <c r="U31" t="s">
        <v>83</v>
      </c>
      <c r="V31" t="s">
        <v>29</v>
      </c>
      <c r="W31" t="s">
        <v>88</v>
      </c>
      <c r="X31" t="s">
        <v>76</v>
      </c>
      <c r="Y31" t="s">
        <v>81</v>
      </c>
      <c r="Z31" t="s">
        <v>78</v>
      </c>
      <c r="AA31" t="s">
        <v>81</v>
      </c>
      <c r="AB31" t="s">
        <v>16</v>
      </c>
      <c r="AC31" t="s">
        <v>17</v>
      </c>
      <c r="AD31" t="s">
        <v>19</v>
      </c>
      <c r="AE31" t="s">
        <v>85</v>
      </c>
      <c r="AF31" t="s">
        <v>77</v>
      </c>
      <c r="AG31" t="s">
        <v>76</v>
      </c>
      <c r="AH31" t="s">
        <v>21</v>
      </c>
      <c r="AI31" t="s">
        <v>81</v>
      </c>
      <c r="AJ31" t="s">
        <v>29</v>
      </c>
      <c r="AK31" t="s">
        <v>85</v>
      </c>
      <c r="AL31" t="s">
        <v>19</v>
      </c>
      <c r="AM31" t="s">
        <v>83</v>
      </c>
      <c r="AN31" t="s">
        <v>79</v>
      </c>
      <c r="AP31" s="1">
        <f>A31</f>
        <v>27</v>
      </c>
      <c r="BU31" s="11">
        <v>4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11">
        <f>BU31</f>
        <v>4</v>
      </c>
    </row>
    <row r="32" spans="1:114" x14ac:dyDescent="0.45">
      <c r="A32" s="1">
        <f>BU55</f>
        <v>28</v>
      </c>
      <c r="B32" t="s">
        <v>103</v>
      </c>
      <c r="D32" t="s">
        <v>89</v>
      </c>
      <c r="F32" t="s">
        <v>97</v>
      </c>
      <c r="J32" t="s">
        <v>22</v>
      </c>
      <c r="L32" t="s">
        <v>22</v>
      </c>
      <c r="N32" t="s">
        <v>22</v>
      </c>
      <c r="P32" t="s">
        <v>97</v>
      </c>
      <c r="R32" t="s">
        <v>22</v>
      </c>
      <c r="T32" t="s">
        <v>89</v>
      </c>
      <c r="V32" t="s">
        <v>97</v>
      </c>
      <c r="X32" t="s">
        <v>97</v>
      </c>
      <c r="Z32" t="s">
        <v>22</v>
      </c>
      <c r="AB32" t="s">
        <v>22</v>
      </c>
      <c r="AD32" t="s">
        <v>97</v>
      </c>
      <c r="AF32" t="s">
        <v>97</v>
      </c>
      <c r="AH32" t="s">
        <v>97</v>
      </c>
      <c r="AJ32" t="s">
        <v>89</v>
      </c>
      <c r="AL32" t="s">
        <v>89</v>
      </c>
      <c r="AN32" t="s">
        <v>97</v>
      </c>
      <c r="AP32" s="1">
        <f>A32</f>
        <v>28</v>
      </c>
      <c r="BU32" s="11">
        <v>5</v>
      </c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11">
        <f>BU32</f>
        <v>5</v>
      </c>
    </row>
    <row r="33" spans="1:114" x14ac:dyDescent="0.45">
      <c r="A33" s="1">
        <f>BU56</f>
        <v>29</v>
      </c>
      <c r="B33" t="s">
        <v>26</v>
      </c>
      <c r="C33" t="s">
        <v>96</v>
      </c>
      <c r="D33" t="s">
        <v>24</v>
      </c>
      <c r="E33" t="s">
        <v>17</v>
      </c>
      <c r="F33" t="s">
        <v>31</v>
      </c>
      <c r="G33" t="s">
        <v>90</v>
      </c>
      <c r="H33" t="s">
        <v>18</v>
      </c>
      <c r="I33" t="s">
        <v>82</v>
      </c>
      <c r="J33" t="s">
        <v>21</v>
      </c>
      <c r="K33" t="s">
        <v>83</v>
      </c>
      <c r="L33" t="s">
        <v>32</v>
      </c>
      <c r="M33" t="s">
        <v>86</v>
      </c>
      <c r="N33" t="s">
        <v>17</v>
      </c>
      <c r="O33" t="s">
        <v>17</v>
      </c>
      <c r="P33" t="s">
        <v>17</v>
      </c>
      <c r="Q33" t="s">
        <v>104</v>
      </c>
      <c r="R33" t="s">
        <v>24</v>
      </c>
      <c r="S33" t="s">
        <v>81</v>
      </c>
      <c r="T33" t="s">
        <v>26</v>
      </c>
      <c r="U33" t="s">
        <v>86</v>
      </c>
      <c r="V33" t="s">
        <v>17</v>
      </c>
      <c r="W33" t="s">
        <v>17</v>
      </c>
      <c r="X33" t="s">
        <v>24</v>
      </c>
      <c r="Y33" t="s">
        <v>88</v>
      </c>
      <c r="Z33" t="s">
        <v>27</v>
      </c>
      <c r="AA33" t="s">
        <v>81</v>
      </c>
      <c r="AB33" t="s">
        <v>17</v>
      </c>
      <c r="AC33" t="s">
        <v>86</v>
      </c>
      <c r="AD33" t="s">
        <v>16</v>
      </c>
      <c r="AE33" t="s">
        <v>76</v>
      </c>
      <c r="AF33" t="s">
        <v>19</v>
      </c>
      <c r="AG33" t="s">
        <v>17</v>
      </c>
      <c r="AH33" t="s">
        <v>22</v>
      </c>
      <c r="AI33" t="s">
        <v>76</v>
      </c>
      <c r="AJ33" t="s">
        <v>21</v>
      </c>
      <c r="AK33" t="s">
        <v>81</v>
      </c>
      <c r="AL33" t="s">
        <v>37</v>
      </c>
      <c r="AM33" t="s">
        <v>17</v>
      </c>
      <c r="AN33" t="s">
        <v>18</v>
      </c>
      <c r="AP33" s="1">
        <f>A33</f>
        <v>29</v>
      </c>
      <c r="BU33" s="11">
        <v>6</v>
      </c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11">
        <f>BU33</f>
        <v>6</v>
      </c>
    </row>
    <row r="34" spans="1:114" x14ac:dyDescent="0.45">
      <c r="A34" s="1">
        <f>BU57</f>
        <v>30</v>
      </c>
      <c r="B34" t="s">
        <v>89</v>
      </c>
      <c r="D34" t="s">
        <v>97</v>
      </c>
      <c r="F34" t="s">
        <v>89</v>
      </c>
      <c r="H34" t="s">
        <v>89</v>
      </c>
      <c r="J34" t="s">
        <v>89</v>
      </c>
      <c r="L34" t="s">
        <v>97</v>
      </c>
      <c r="N34" t="s">
        <v>97</v>
      </c>
      <c r="P34" t="s">
        <v>22</v>
      </c>
      <c r="R34" t="s">
        <v>89</v>
      </c>
      <c r="T34" t="s">
        <v>22</v>
      </c>
      <c r="X34" t="s">
        <v>97</v>
      </c>
      <c r="Z34" t="s">
        <v>103</v>
      </c>
      <c r="AB34" t="s">
        <v>89</v>
      </c>
      <c r="AD34" t="s">
        <v>22</v>
      </c>
      <c r="AF34" t="s">
        <v>89</v>
      </c>
      <c r="AH34" t="s">
        <v>97</v>
      </c>
      <c r="AJ34" t="s">
        <v>89</v>
      </c>
      <c r="AL34" t="s">
        <v>89</v>
      </c>
      <c r="AN34" t="s">
        <v>97</v>
      </c>
      <c r="AP34" s="1">
        <f>A34</f>
        <v>30</v>
      </c>
      <c r="BU34" s="11">
        <v>7</v>
      </c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11">
        <f>BU34</f>
        <v>7</v>
      </c>
    </row>
    <row r="35" spans="1:114" x14ac:dyDescent="0.45">
      <c r="A35" s="1">
        <f>BU58</f>
        <v>31</v>
      </c>
      <c r="B35" t="s">
        <v>77</v>
      </c>
      <c r="C35" t="s">
        <v>17</v>
      </c>
      <c r="D35" t="s">
        <v>26</v>
      </c>
      <c r="E35" t="s">
        <v>91</v>
      </c>
      <c r="F35" t="s">
        <v>24</v>
      </c>
      <c r="G35" t="s">
        <v>76</v>
      </c>
      <c r="H35" t="s">
        <v>31</v>
      </c>
      <c r="I35" t="s">
        <v>81</v>
      </c>
      <c r="J35" t="s">
        <v>29</v>
      </c>
      <c r="K35" t="s">
        <v>83</v>
      </c>
      <c r="L35" t="s">
        <v>19</v>
      </c>
      <c r="N35" t="s">
        <v>76</v>
      </c>
      <c r="O35" t="s">
        <v>92</v>
      </c>
      <c r="P35" t="s">
        <v>20</v>
      </c>
      <c r="Q35" t="s">
        <v>86</v>
      </c>
      <c r="R35" t="s">
        <v>73</v>
      </c>
      <c r="S35" t="s">
        <v>17</v>
      </c>
      <c r="T35" t="s">
        <v>17</v>
      </c>
      <c r="U35" t="s">
        <v>84</v>
      </c>
      <c r="V35" t="s">
        <v>75</v>
      </c>
      <c r="W35" t="s">
        <v>81</v>
      </c>
      <c r="X35" t="s">
        <v>26</v>
      </c>
      <c r="Y35" t="s">
        <v>104</v>
      </c>
      <c r="Z35" t="s">
        <v>16</v>
      </c>
      <c r="AA35" t="s">
        <v>17</v>
      </c>
      <c r="AB35" t="s">
        <v>21</v>
      </c>
      <c r="AC35" t="s">
        <v>83</v>
      </c>
      <c r="AD35" t="s">
        <v>20</v>
      </c>
      <c r="AE35" t="s">
        <v>96</v>
      </c>
      <c r="AF35" t="s">
        <v>41</v>
      </c>
      <c r="AG35" t="s">
        <v>84</v>
      </c>
      <c r="AH35" t="s">
        <v>29</v>
      </c>
      <c r="AI35" t="s">
        <v>76</v>
      </c>
      <c r="AJ35" t="s">
        <v>22</v>
      </c>
      <c r="AK35" t="s">
        <v>17</v>
      </c>
      <c r="AL35" t="s">
        <v>27</v>
      </c>
      <c r="AM35" t="s">
        <v>86</v>
      </c>
      <c r="AN35" t="s">
        <v>16</v>
      </c>
      <c r="AP35" s="1">
        <f>A35</f>
        <v>31</v>
      </c>
      <c r="BU35" s="11">
        <v>8</v>
      </c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11">
        <f>BU35</f>
        <v>8</v>
      </c>
    </row>
    <row r="36" spans="1:114" x14ac:dyDescent="0.45">
      <c r="A36" s="1">
        <f>BU59</f>
        <v>32</v>
      </c>
      <c r="B36" t="s">
        <v>103</v>
      </c>
      <c r="D36" t="s">
        <v>22</v>
      </c>
      <c r="F36" t="s">
        <v>22</v>
      </c>
      <c r="H36" t="s">
        <v>89</v>
      </c>
      <c r="J36" t="s">
        <v>89</v>
      </c>
      <c r="L36" t="s">
        <v>97</v>
      </c>
      <c r="N36" t="s">
        <v>22</v>
      </c>
      <c r="R36" t="s">
        <v>89</v>
      </c>
      <c r="T36" t="s">
        <v>97</v>
      </c>
      <c r="V36" t="s">
        <v>89</v>
      </c>
      <c r="Z36" t="s">
        <v>89</v>
      </c>
      <c r="AB36" t="s">
        <v>97</v>
      </c>
      <c r="AD36" t="s">
        <v>89</v>
      </c>
      <c r="AF36" t="s">
        <v>22</v>
      </c>
      <c r="AH36" t="s">
        <v>22</v>
      </c>
      <c r="AJ36" t="s">
        <v>97</v>
      </c>
      <c r="AL36" t="s">
        <v>22</v>
      </c>
      <c r="AN36" t="s">
        <v>89</v>
      </c>
      <c r="AP36" s="1">
        <f>A36</f>
        <v>32</v>
      </c>
      <c r="BU36" s="11">
        <v>9</v>
      </c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11">
        <f>BU36</f>
        <v>9</v>
      </c>
    </row>
    <row r="37" spans="1:114" x14ac:dyDescent="0.45">
      <c r="A37" s="1">
        <f>BU60</f>
        <v>33</v>
      </c>
      <c r="B37" t="s">
        <v>31</v>
      </c>
      <c r="C37" t="s">
        <v>81</v>
      </c>
      <c r="D37" t="s">
        <v>18</v>
      </c>
      <c r="E37" t="s">
        <v>81</v>
      </c>
      <c r="F37" t="s">
        <v>22</v>
      </c>
      <c r="G37" t="s">
        <v>76</v>
      </c>
      <c r="H37" t="s">
        <v>27</v>
      </c>
      <c r="I37" t="s">
        <v>81</v>
      </c>
      <c r="J37" t="s">
        <v>75</v>
      </c>
      <c r="K37" t="s">
        <v>83</v>
      </c>
      <c r="L37" t="s">
        <v>19</v>
      </c>
      <c r="M37" t="s">
        <v>84</v>
      </c>
      <c r="N37" t="s">
        <v>21</v>
      </c>
      <c r="O37" t="s">
        <v>104</v>
      </c>
      <c r="P37" t="s">
        <v>20</v>
      </c>
      <c r="Q37" t="s">
        <v>81</v>
      </c>
      <c r="R37" t="s">
        <v>20</v>
      </c>
      <c r="S37" t="s">
        <v>83</v>
      </c>
      <c r="T37" t="s">
        <v>20</v>
      </c>
      <c r="U37" t="s">
        <v>17</v>
      </c>
      <c r="V37" t="s">
        <v>20</v>
      </c>
      <c r="W37" t="s">
        <v>81</v>
      </c>
      <c r="X37" t="s">
        <v>18</v>
      </c>
      <c r="Y37" t="s">
        <v>17</v>
      </c>
      <c r="Z37" t="s">
        <v>21</v>
      </c>
      <c r="AA37" t="s">
        <v>86</v>
      </c>
      <c r="AB37" t="s">
        <v>29</v>
      </c>
      <c r="AC37" t="s">
        <v>83</v>
      </c>
      <c r="AD37" t="s">
        <v>77</v>
      </c>
      <c r="AE37" t="s">
        <v>81</v>
      </c>
      <c r="AF37" t="s">
        <v>21</v>
      </c>
      <c r="AG37" t="s">
        <v>96</v>
      </c>
      <c r="AH37" t="s">
        <v>20</v>
      </c>
      <c r="AI37" t="s">
        <v>81</v>
      </c>
      <c r="AJ37" t="s">
        <v>29</v>
      </c>
      <c r="AK37" t="s">
        <v>85</v>
      </c>
      <c r="AL37" t="s">
        <v>31</v>
      </c>
      <c r="AM37" t="s">
        <v>86</v>
      </c>
      <c r="AN37" t="s">
        <v>18</v>
      </c>
      <c r="AP37" s="1">
        <f>A37</f>
        <v>33</v>
      </c>
      <c r="BU37" s="11">
        <v>10</v>
      </c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11">
        <f>BU37</f>
        <v>10</v>
      </c>
    </row>
    <row r="38" spans="1:114" x14ac:dyDescent="0.45">
      <c r="A38" s="1">
        <f>BU61</f>
        <v>34</v>
      </c>
      <c r="B38" t="s">
        <v>89</v>
      </c>
      <c r="D38" t="s">
        <v>89</v>
      </c>
      <c r="F38" t="s">
        <v>103</v>
      </c>
      <c r="H38" t="s">
        <v>97</v>
      </c>
      <c r="J38" t="s">
        <v>89</v>
      </c>
      <c r="L38" t="s">
        <v>89</v>
      </c>
      <c r="N38" t="s">
        <v>22</v>
      </c>
      <c r="R38" t="s">
        <v>89</v>
      </c>
      <c r="V38" t="s">
        <v>97</v>
      </c>
      <c r="X38" t="s">
        <v>103</v>
      </c>
      <c r="Z38" t="s">
        <v>97</v>
      </c>
      <c r="AB38" t="s">
        <v>22</v>
      </c>
      <c r="AD38" t="s">
        <v>22</v>
      </c>
      <c r="AF38" t="s">
        <v>89</v>
      </c>
      <c r="AH38" t="s">
        <v>89</v>
      </c>
      <c r="AJ38" t="s">
        <v>22</v>
      </c>
      <c r="AL38" t="s">
        <v>22</v>
      </c>
      <c r="AN38" t="s">
        <v>103</v>
      </c>
      <c r="AP38" s="1">
        <f>A38</f>
        <v>34</v>
      </c>
      <c r="BU38" s="11">
        <v>11</v>
      </c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11">
        <f>BU38</f>
        <v>11</v>
      </c>
    </row>
    <row r="39" spans="1:114" x14ac:dyDescent="0.45">
      <c r="A39" s="1">
        <f>BU62</f>
        <v>35</v>
      </c>
      <c r="B39" t="s">
        <v>27</v>
      </c>
      <c r="C39" t="s">
        <v>83</v>
      </c>
      <c r="D39" t="s">
        <v>16</v>
      </c>
      <c r="E39" t="s">
        <v>76</v>
      </c>
      <c r="F39" t="s">
        <v>22</v>
      </c>
      <c r="H39" t="s">
        <v>31</v>
      </c>
      <c r="I39" t="s">
        <v>96</v>
      </c>
      <c r="J39" t="s">
        <v>18</v>
      </c>
      <c r="K39" t="s">
        <v>17</v>
      </c>
      <c r="L39" t="s">
        <v>31</v>
      </c>
      <c r="M39" t="s">
        <v>84</v>
      </c>
      <c r="N39" t="s">
        <v>29</v>
      </c>
      <c r="O39" t="s">
        <v>96</v>
      </c>
      <c r="P39" t="s">
        <v>27</v>
      </c>
      <c r="Q39" t="s">
        <v>84</v>
      </c>
      <c r="R39" t="s">
        <v>24</v>
      </c>
      <c r="S39" t="s">
        <v>17</v>
      </c>
      <c r="T39" t="s">
        <v>27</v>
      </c>
      <c r="U39" t="s">
        <v>86</v>
      </c>
      <c r="V39" t="s">
        <v>24</v>
      </c>
      <c r="X39" t="s">
        <v>31</v>
      </c>
      <c r="Y39" t="s">
        <v>81</v>
      </c>
      <c r="Z39" t="s">
        <v>29</v>
      </c>
      <c r="AA39" t="s">
        <v>83</v>
      </c>
      <c r="AB39" t="s">
        <v>76</v>
      </c>
      <c r="AC39" t="s">
        <v>86</v>
      </c>
      <c r="AD39" t="s">
        <v>37</v>
      </c>
      <c r="AE39" t="s">
        <v>17</v>
      </c>
      <c r="AF39" t="s">
        <v>29</v>
      </c>
      <c r="AG39" t="s">
        <v>83</v>
      </c>
      <c r="AH39" t="s">
        <v>27</v>
      </c>
      <c r="AI39" t="s">
        <v>81</v>
      </c>
      <c r="AJ39" t="s">
        <v>24</v>
      </c>
      <c r="AL39" t="s">
        <v>27</v>
      </c>
      <c r="AM39" t="s">
        <v>86</v>
      </c>
      <c r="AN39" t="s">
        <v>47</v>
      </c>
      <c r="AP39" s="1">
        <f>A39</f>
        <v>35</v>
      </c>
      <c r="BU39" s="11">
        <v>12</v>
      </c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11">
        <f>BU39</f>
        <v>12</v>
      </c>
    </row>
    <row r="40" spans="1:114" x14ac:dyDescent="0.45">
      <c r="A40" s="1">
        <f>BU63</f>
        <v>36</v>
      </c>
      <c r="B40" t="s">
        <v>97</v>
      </c>
      <c r="D40" t="s">
        <v>89</v>
      </c>
      <c r="F40" t="s">
        <v>97</v>
      </c>
      <c r="H40" t="s">
        <v>97</v>
      </c>
      <c r="J40" t="s">
        <v>89</v>
      </c>
      <c r="L40" t="s">
        <v>89</v>
      </c>
      <c r="N40" t="s">
        <v>89</v>
      </c>
      <c r="P40" t="s">
        <v>97</v>
      </c>
      <c r="R40" t="s">
        <v>22</v>
      </c>
      <c r="T40" t="s">
        <v>97</v>
      </c>
      <c r="V40" t="s">
        <v>89</v>
      </c>
      <c r="X40" t="s">
        <v>89</v>
      </c>
      <c r="Z40" t="s">
        <v>22</v>
      </c>
      <c r="AB40" t="s">
        <v>22</v>
      </c>
      <c r="AD40" t="s">
        <v>89</v>
      </c>
      <c r="AF40" t="s">
        <v>22</v>
      </c>
      <c r="AH40" t="s">
        <v>97</v>
      </c>
      <c r="AJ40" t="s">
        <v>89</v>
      </c>
      <c r="AL40" t="s">
        <v>103</v>
      </c>
      <c r="AN40" t="s">
        <v>89</v>
      </c>
      <c r="AP40" s="1">
        <f>A40</f>
        <v>36</v>
      </c>
      <c r="BU40" s="11">
        <v>13</v>
      </c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11">
        <f>BU40</f>
        <v>13</v>
      </c>
    </row>
    <row r="41" spans="1:114" x14ac:dyDescent="0.45">
      <c r="A41" s="1">
        <f>BU64</f>
        <v>37</v>
      </c>
      <c r="B41" t="s">
        <v>48</v>
      </c>
      <c r="C41" t="s">
        <v>86</v>
      </c>
      <c r="D41" t="s">
        <v>18</v>
      </c>
      <c r="F41" t="s">
        <v>26</v>
      </c>
      <c r="G41" t="s">
        <v>86</v>
      </c>
      <c r="H41" t="s">
        <v>17</v>
      </c>
      <c r="I41" t="s">
        <v>17</v>
      </c>
      <c r="J41" t="s">
        <v>23</v>
      </c>
      <c r="K41" t="s">
        <v>83</v>
      </c>
      <c r="L41" t="s">
        <v>17</v>
      </c>
      <c r="M41" t="s">
        <v>83</v>
      </c>
      <c r="N41" t="s">
        <v>24</v>
      </c>
      <c r="P41" t="s">
        <v>19</v>
      </c>
      <c r="Q41" t="s">
        <v>83</v>
      </c>
      <c r="R41" t="s">
        <v>22</v>
      </c>
      <c r="T41" t="s">
        <v>19</v>
      </c>
      <c r="U41" t="s">
        <v>17</v>
      </c>
      <c r="V41" t="s">
        <v>22</v>
      </c>
      <c r="W41" t="s">
        <v>81</v>
      </c>
      <c r="X41" t="s">
        <v>76</v>
      </c>
      <c r="Y41" t="s">
        <v>92</v>
      </c>
      <c r="Z41" t="s">
        <v>20</v>
      </c>
      <c r="AA41" t="s">
        <v>83</v>
      </c>
      <c r="AB41" t="s">
        <v>28</v>
      </c>
      <c r="AC41" t="s">
        <v>17</v>
      </c>
      <c r="AD41" t="s">
        <v>17</v>
      </c>
      <c r="AE41" t="s">
        <v>104</v>
      </c>
      <c r="AF41" t="s">
        <v>24</v>
      </c>
      <c r="AG41" t="s">
        <v>17</v>
      </c>
      <c r="AH41" t="s">
        <v>19</v>
      </c>
      <c r="AI41" t="s">
        <v>83</v>
      </c>
      <c r="AJ41" t="s">
        <v>26</v>
      </c>
      <c r="AK41" t="s">
        <v>85</v>
      </c>
      <c r="AL41" t="s">
        <v>16</v>
      </c>
      <c r="AM41" t="s">
        <v>83</v>
      </c>
      <c r="AN41" t="s">
        <v>22</v>
      </c>
      <c r="AP41" s="1">
        <f>A41</f>
        <v>37</v>
      </c>
      <c r="BU41" s="11">
        <v>14</v>
      </c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11">
        <f>BU41</f>
        <v>14</v>
      </c>
    </row>
    <row r="42" spans="1:114" x14ac:dyDescent="0.45">
      <c r="A42" s="1">
        <f>BU65</f>
        <v>38</v>
      </c>
      <c r="B42" t="s">
        <v>97</v>
      </c>
      <c r="D42" t="s">
        <v>89</v>
      </c>
      <c r="F42" t="s">
        <v>22</v>
      </c>
      <c r="J42" t="s">
        <v>97</v>
      </c>
      <c r="L42" t="s">
        <v>89</v>
      </c>
      <c r="N42" t="s">
        <v>97</v>
      </c>
      <c r="P42" t="s">
        <v>103</v>
      </c>
      <c r="R42" t="s">
        <v>97</v>
      </c>
      <c r="T42" t="s">
        <v>97</v>
      </c>
      <c r="V42" t="s">
        <v>89</v>
      </c>
      <c r="X42" t="s">
        <v>22</v>
      </c>
      <c r="Z42" t="s">
        <v>22</v>
      </c>
      <c r="AB42" t="s">
        <v>97</v>
      </c>
      <c r="AD42" t="s">
        <v>89</v>
      </c>
      <c r="AF42" t="s">
        <v>97</v>
      </c>
      <c r="AH42" t="s">
        <v>97</v>
      </c>
      <c r="AJ42" t="s">
        <v>89</v>
      </c>
      <c r="AN42" t="s">
        <v>103</v>
      </c>
      <c r="AP42" s="1">
        <f>A42</f>
        <v>38</v>
      </c>
      <c r="BU42" s="11">
        <v>15</v>
      </c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11">
        <f>BU42</f>
        <v>15</v>
      </c>
    </row>
    <row r="43" spans="1:114" x14ac:dyDescent="0.45">
      <c r="A43" s="1">
        <f>BU66</f>
        <v>39</v>
      </c>
      <c r="B43" t="s">
        <v>79</v>
      </c>
      <c r="C43" t="s">
        <v>84</v>
      </c>
      <c r="D43" t="s">
        <v>31</v>
      </c>
      <c r="E43" t="s">
        <v>104</v>
      </c>
      <c r="F43" t="s">
        <v>20</v>
      </c>
      <c r="G43" t="s">
        <v>84</v>
      </c>
      <c r="H43" t="s">
        <v>20</v>
      </c>
      <c r="I43" t="s">
        <v>84</v>
      </c>
      <c r="J43" t="s">
        <v>20</v>
      </c>
      <c r="K43" t="s">
        <v>84</v>
      </c>
      <c r="L43" t="s">
        <v>20</v>
      </c>
      <c r="M43" t="s">
        <v>91</v>
      </c>
      <c r="N43" t="s">
        <v>78</v>
      </c>
      <c r="O43" t="s">
        <v>86</v>
      </c>
      <c r="P43" t="s">
        <v>16</v>
      </c>
      <c r="Q43" t="s">
        <v>81</v>
      </c>
      <c r="R43" t="s">
        <v>26</v>
      </c>
      <c r="S43" t="s">
        <v>90</v>
      </c>
      <c r="T43" t="s">
        <v>16</v>
      </c>
      <c r="U43" t="s">
        <v>81</v>
      </c>
      <c r="V43" t="s">
        <v>26</v>
      </c>
      <c r="W43" t="s">
        <v>92</v>
      </c>
      <c r="X43" t="s">
        <v>17</v>
      </c>
      <c r="Y43" t="s">
        <v>86</v>
      </c>
      <c r="Z43" t="s">
        <v>17</v>
      </c>
      <c r="AA43" t="s">
        <v>81</v>
      </c>
      <c r="AB43" t="s">
        <v>16</v>
      </c>
      <c r="AC43" t="s">
        <v>86</v>
      </c>
      <c r="AD43" t="s">
        <v>76</v>
      </c>
      <c r="AE43" t="s">
        <v>86</v>
      </c>
      <c r="AF43" t="s">
        <v>78</v>
      </c>
      <c r="AG43" t="s">
        <v>81</v>
      </c>
      <c r="AH43" t="s">
        <v>16</v>
      </c>
      <c r="AI43" t="s">
        <v>88</v>
      </c>
      <c r="AJ43" t="s">
        <v>76</v>
      </c>
      <c r="AK43" t="s">
        <v>84</v>
      </c>
      <c r="AL43" t="s">
        <v>20</v>
      </c>
      <c r="AM43" t="s">
        <v>86</v>
      </c>
      <c r="AN43" t="s">
        <v>29</v>
      </c>
      <c r="AP43" s="1">
        <f>A43</f>
        <v>39</v>
      </c>
      <c r="BU43" s="11">
        <v>16</v>
      </c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11">
        <f>BU43</f>
        <v>16</v>
      </c>
    </row>
    <row r="44" spans="1:114" x14ac:dyDescent="0.45">
      <c r="A44" s="1">
        <f>BU67</f>
        <v>40</v>
      </c>
      <c r="AP44" s="1">
        <f>A44</f>
        <v>40</v>
      </c>
      <c r="BU44" s="11">
        <v>17</v>
      </c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11">
        <f>BU44</f>
        <v>17</v>
      </c>
    </row>
    <row r="45" spans="1:114" x14ac:dyDescent="0.45">
      <c r="B45" s="10">
        <f>B4</f>
        <v>1</v>
      </c>
      <c r="C45" s="10">
        <f>C4</f>
        <v>2</v>
      </c>
      <c r="D45" s="10">
        <f>D4</f>
        <v>3</v>
      </c>
      <c r="E45" s="10">
        <f>E4</f>
        <v>4</v>
      </c>
      <c r="F45" s="10">
        <f>F4</f>
        <v>5</v>
      </c>
      <c r="G45" s="10">
        <f>G4</f>
        <v>6</v>
      </c>
      <c r="H45" s="10">
        <f>H4</f>
        <v>7</v>
      </c>
      <c r="I45" s="10">
        <f>I4</f>
        <v>8</v>
      </c>
      <c r="J45" s="10">
        <f>J4</f>
        <v>9</v>
      </c>
      <c r="K45" s="10">
        <f>K4</f>
        <v>10</v>
      </c>
      <c r="L45" s="10">
        <f>L4</f>
        <v>11</v>
      </c>
      <c r="M45" s="10">
        <f>M4</f>
        <v>12</v>
      </c>
      <c r="N45" s="10">
        <f>N4</f>
        <v>13</v>
      </c>
      <c r="O45" s="10">
        <f>O4</f>
        <v>14</v>
      </c>
      <c r="P45" s="10">
        <f>P4</f>
        <v>15</v>
      </c>
      <c r="Q45" s="10">
        <f>Q4</f>
        <v>16</v>
      </c>
      <c r="R45" s="10">
        <f>R4</f>
        <v>17</v>
      </c>
      <c r="S45" s="10">
        <f>S4</f>
        <v>18</v>
      </c>
      <c r="T45" s="10">
        <f>T4</f>
        <v>19</v>
      </c>
      <c r="U45" s="10">
        <f>U4</f>
        <v>20</v>
      </c>
      <c r="V45" s="10">
        <f>V4</f>
        <v>21</v>
      </c>
      <c r="W45" s="10">
        <f>W4</f>
        <v>22</v>
      </c>
      <c r="X45" s="10">
        <f>X4</f>
        <v>23</v>
      </c>
      <c r="Y45" s="10">
        <f>Y4</f>
        <v>24</v>
      </c>
      <c r="Z45" s="10">
        <f>Z4</f>
        <v>25</v>
      </c>
      <c r="AA45" s="10">
        <f>AA4</f>
        <v>26</v>
      </c>
      <c r="AB45" s="10">
        <f>AB4</f>
        <v>27</v>
      </c>
      <c r="AC45" s="10">
        <f>AC4</f>
        <v>28</v>
      </c>
      <c r="AD45" s="10">
        <f>AD4</f>
        <v>29</v>
      </c>
      <c r="AE45" s="10">
        <f>AE4</f>
        <v>30</v>
      </c>
      <c r="AF45" s="10">
        <f>AF4</f>
        <v>31</v>
      </c>
      <c r="AG45" s="10">
        <f>AG4</f>
        <v>32</v>
      </c>
      <c r="AH45" s="10">
        <f>AH4</f>
        <v>33</v>
      </c>
      <c r="AI45" s="10">
        <f>AI4</f>
        <v>34</v>
      </c>
      <c r="AJ45" s="10">
        <f>AJ4</f>
        <v>35</v>
      </c>
      <c r="AK45" s="10">
        <f>AK4</f>
        <v>36</v>
      </c>
      <c r="AL45" s="10">
        <f>AL4</f>
        <v>37</v>
      </c>
      <c r="AM45" s="10">
        <f>AM4</f>
        <v>38</v>
      </c>
      <c r="AN45" s="10">
        <f>AN4</f>
        <v>39</v>
      </c>
      <c r="AO45" s="10">
        <f>AO4</f>
        <v>40</v>
      </c>
      <c r="BU45" s="11">
        <v>18</v>
      </c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11">
        <f>BU45</f>
        <v>18</v>
      </c>
    </row>
    <row r="46" spans="1:114" x14ac:dyDescent="0.45">
      <c r="BU46" s="11">
        <v>19</v>
      </c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11">
        <f>BU46</f>
        <v>19</v>
      </c>
    </row>
    <row r="47" spans="1:114" x14ac:dyDescent="0.45">
      <c r="BU47" s="11">
        <v>20</v>
      </c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11">
        <f>BU47</f>
        <v>20</v>
      </c>
    </row>
    <row r="48" spans="1:114" x14ac:dyDescent="0.45">
      <c r="BU48" s="11">
        <v>21</v>
      </c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11">
        <f>BU48</f>
        <v>21</v>
      </c>
    </row>
    <row r="49" spans="73:114" x14ac:dyDescent="0.45">
      <c r="BU49" s="11">
        <v>22</v>
      </c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11">
        <f>BU49</f>
        <v>22</v>
      </c>
    </row>
    <row r="50" spans="73:114" x14ac:dyDescent="0.45">
      <c r="BU50" s="11">
        <v>23</v>
      </c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11">
        <f>BU50</f>
        <v>23</v>
      </c>
    </row>
    <row r="51" spans="73:114" x14ac:dyDescent="0.45">
      <c r="BU51" s="11">
        <v>24</v>
      </c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11">
        <f>BU51</f>
        <v>24</v>
      </c>
    </row>
    <row r="52" spans="73:114" x14ac:dyDescent="0.45">
      <c r="BU52" s="11">
        <v>25</v>
      </c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11">
        <f>BU52</f>
        <v>25</v>
      </c>
    </row>
    <row r="53" spans="73:114" x14ac:dyDescent="0.45">
      <c r="BU53" s="11">
        <v>26</v>
      </c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11">
        <f>BU53</f>
        <v>26</v>
      </c>
    </row>
    <row r="54" spans="73:114" x14ac:dyDescent="0.45">
      <c r="BU54" s="11">
        <v>27</v>
      </c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11">
        <f>BU54</f>
        <v>27</v>
      </c>
    </row>
    <row r="55" spans="73:114" x14ac:dyDescent="0.45">
      <c r="BU55" s="11">
        <v>28</v>
      </c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11">
        <f>BU55</f>
        <v>28</v>
      </c>
    </row>
    <row r="56" spans="73:114" x14ac:dyDescent="0.45">
      <c r="BU56" s="11">
        <v>29</v>
      </c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11">
        <f>BU56</f>
        <v>29</v>
      </c>
    </row>
    <row r="57" spans="73:114" x14ac:dyDescent="0.45">
      <c r="BU57" s="11">
        <v>30</v>
      </c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11">
        <f>BU57</f>
        <v>30</v>
      </c>
    </row>
    <row r="58" spans="73:114" x14ac:dyDescent="0.45">
      <c r="BU58" s="11">
        <v>31</v>
      </c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11">
        <f>BU58</f>
        <v>31</v>
      </c>
    </row>
    <row r="59" spans="73:114" x14ac:dyDescent="0.45">
      <c r="BU59" s="11">
        <v>32</v>
      </c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11">
        <f>BU59</f>
        <v>32</v>
      </c>
    </row>
    <row r="60" spans="73:114" x14ac:dyDescent="0.45">
      <c r="BU60" s="11">
        <v>33</v>
      </c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11">
        <f>BU60</f>
        <v>33</v>
      </c>
    </row>
    <row r="61" spans="73:114" x14ac:dyDescent="0.45">
      <c r="BU61" s="11">
        <v>34</v>
      </c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11">
        <f>BU61</f>
        <v>34</v>
      </c>
    </row>
    <row r="62" spans="73:114" x14ac:dyDescent="0.45">
      <c r="BU62" s="11">
        <v>35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11">
        <f>BU62</f>
        <v>35</v>
      </c>
    </row>
    <row r="63" spans="73:114" x14ac:dyDescent="0.45">
      <c r="BU63" s="11">
        <v>36</v>
      </c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11">
        <f>BU63</f>
        <v>36</v>
      </c>
    </row>
    <row r="64" spans="73:114" x14ac:dyDescent="0.45">
      <c r="BU64" s="11">
        <v>37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11">
        <f>BU64</f>
        <v>37</v>
      </c>
    </row>
    <row r="65" spans="73:114" x14ac:dyDescent="0.45">
      <c r="BU65" s="11">
        <v>38</v>
      </c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11">
        <f>BU65</f>
        <v>38</v>
      </c>
    </row>
    <row r="66" spans="73:114" x14ac:dyDescent="0.45">
      <c r="BU66" s="11">
        <v>39</v>
      </c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11">
        <f>BU66</f>
        <v>39</v>
      </c>
    </row>
    <row r="67" spans="73:114" x14ac:dyDescent="0.45">
      <c r="BU67" s="11">
        <v>40</v>
      </c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11">
        <f>BU67</f>
        <v>40</v>
      </c>
    </row>
    <row r="68" spans="73:114" x14ac:dyDescent="0.45">
      <c r="BU68" s="11"/>
      <c r="BV68" s="11">
        <f>BV27</f>
        <v>1</v>
      </c>
      <c r="BW68" s="11">
        <f>BW27</f>
        <v>2</v>
      </c>
      <c r="BX68" s="11">
        <f t="shared" ref="BX68:DI68" si="0">BX27</f>
        <v>3</v>
      </c>
      <c r="BY68" s="11">
        <f t="shared" si="0"/>
        <v>4</v>
      </c>
      <c r="BZ68" s="11">
        <f t="shared" si="0"/>
        <v>5</v>
      </c>
      <c r="CA68" s="11">
        <f t="shared" si="0"/>
        <v>6</v>
      </c>
      <c r="CB68" s="11">
        <f t="shared" si="0"/>
        <v>7</v>
      </c>
      <c r="CC68" s="11">
        <f t="shared" si="0"/>
        <v>8</v>
      </c>
      <c r="CD68" s="11">
        <f t="shared" si="0"/>
        <v>9</v>
      </c>
      <c r="CE68" s="11">
        <f t="shared" si="0"/>
        <v>10</v>
      </c>
      <c r="CF68" s="11">
        <f t="shared" si="0"/>
        <v>11</v>
      </c>
      <c r="CG68" s="11">
        <f t="shared" si="0"/>
        <v>12</v>
      </c>
      <c r="CH68" s="11">
        <f t="shared" si="0"/>
        <v>13</v>
      </c>
      <c r="CI68" s="11">
        <f t="shared" si="0"/>
        <v>14</v>
      </c>
      <c r="CJ68" s="11">
        <f t="shared" si="0"/>
        <v>15</v>
      </c>
      <c r="CK68" s="11">
        <f t="shared" si="0"/>
        <v>16</v>
      </c>
      <c r="CL68" s="11">
        <f t="shared" si="0"/>
        <v>17</v>
      </c>
      <c r="CM68" s="11">
        <f t="shared" si="0"/>
        <v>18</v>
      </c>
      <c r="CN68" s="11">
        <f t="shared" si="0"/>
        <v>19</v>
      </c>
      <c r="CO68" s="11">
        <f t="shared" si="0"/>
        <v>20</v>
      </c>
      <c r="CP68" s="11">
        <f t="shared" si="0"/>
        <v>21</v>
      </c>
      <c r="CQ68" s="11">
        <f t="shared" si="0"/>
        <v>22</v>
      </c>
      <c r="CR68" s="11">
        <f t="shared" si="0"/>
        <v>23</v>
      </c>
      <c r="CS68" s="11">
        <f t="shared" si="0"/>
        <v>24</v>
      </c>
      <c r="CT68" s="11">
        <f t="shared" si="0"/>
        <v>25</v>
      </c>
      <c r="CU68" s="11">
        <f t="shared" si="0"/>
        <v>26</v>
      </c>
      <c r="CV68" s="11">
        <f t="shared" si="0"/>
        <v>27</v>
      </c>
      <c r="CW68" s="11">
        <f t="shared" si="0"/>
        <v>28</v>
      </c>
      <c r="CX68" s="11">
        <f t="shared" si="0"/>
        <v>29</v>
      </c>
      <c r="CY68" s="11">
        <f t="shared" si="0"/>
        <v>30</v>
      </c>
      <c r="CZ68" s="11">
        <f t="shared" si="0"/>
        <v>31</v>
      </c>
      <c r="DA68" s="11">
        <f t="shared" si="0"/>
        <v>32</v>
      </c>
      <c r="DB68" s="11">
        <f t="shared" si="0"/>
        <v>33</v>
      </c>
      <c r="DC68" s="11">
        <f t="shared" si="0"/>
        <v>34</v>
      </c>
      <c r="DD68" s="11">
        <f t="shared" si="0"/>
        <v>35</v>
      </c>
      <c r="DE68" s="11">
        <f t="shared" si="0"/>
        <v>36</v>
      </c>
      <c r="DF68" s="11">
        <f t="shared" si="0"/>
        <v>37</v>
      </c>
      <c r="DG68" s="11">
        <f t="shared" si="0"/>
        <v>38</v>
      </c>
      <c r="DH68" s="11">
        <f t="shared" si="0"/>
        <v>39</v>
      </c>
      <c r="DI68" s="11">
        <f t="shared" si="0"/>
        <v>40</v>
      </c>
      <c r="DJ68" s="11"/>
    </row>
    <row r="70" spans="73:114" x14ac:dyDescent="0.45">
      <c r="BU70" t="s">
        <v>3</v>
      </c>
    </row>
    <row r="71" spans="73:114" x14ac:dyDescent="0.45">
      <c r="BU71" s="15" t="s">
        <v>8</v>
      </c>
      <c r="BV71" s="15"/>
      <c r="BW71" s="15"/>
      <c r="BX71" s="15"/>
      <c r="BY71" s="15"/>
    </row>
    <row r="72" spans="73:114" x14ac:dyDescent="0.45">
      <c r="BU72" s="15" t="s">
        <v>7</v>
      </c>
      <c r="BV72" s="15"/>
      <c r="BW72" s="15"/>
      <c r="BX72" s="15"/>
      <c r="BY72" s="15"/>
    </row>
    <row r="73" spans="73:114" x14ac:dyDescent="0.45">
      <c r="BU73" s="15" t="s">
        <v>6</v>
      </c>
      <c r="BV73" s="15"/>
      <c r="BW73" s="15"/>
      <c r="BX73" s="15"/>
      <c r="BY73" s="15"/>
    </row>
  </sheetData>
  <conditionalFormatting sqref="BV28:BZ28">
    <cfRule type="expression" dxfId="11" priority="40">
      <formula>ISERROR(SEARCH("N",B5))</formula>
    </cfRule>
    <cfRule type="expression" dxfId="10" priority="41">
      <formula>ISERROR(SEARCH("E",B5))</formula>
    </cfRule>
    <cfRule type="expression" dxfId="9" priority="42">
      <formula>ISERROR(SEARCH("W",B5))</formula>
    </cfRule>
    <cfRule type="expression" dxfId="8" priority="43">
      <formula>ISERROR(SEARCH("S",B5))</formula>
    </cfRule>
  </conditionalFormatting>
  <conditionalFormatting sqref="CA28:DI67">
    <cfRule type="expression" dxfId="7" priority="5">
      <formula>ISERROR(SEARCH("N",G5))</formula>
    </cfRule>
    <cfRule type="expression" dxfId="6" priority="6">
      <formula>ISERROR(SEARCH("E",G5))</formula>
    </cfRule>
    <cfRule type="expression" dxfId="5" priority="7">
      <formula>ISERROR(SEARCH("W",G5))</formula>
    </cfRule>
    <cfRule type="expression" dxfId="4" priority="8">
      <formula>ISERROR(SEARCH("S",G5))</formula>
    </cfRule>
  </conditionalFormatting>
  <conditionalFormatting sqref="BV29:BZ67">
    <cfRule type="expression" dxfId="3" priority="1">
      <formula>ISERROR(SEARCH("N",B6))</formula>
    </cfRule>
    <cfRule type="expression" dxfId="2" priority="2">
      <formula>ISERROR(SEARCH("E",B6))</formula>
    </cfRule>
    <cfRule type="expression" dxfId="1" priority="3">
      <formula>ISERROR(SEARCH("W",B6))</formula>
    </cfRule>
    <cfRule type="expression" dxfId="0" priority="4">
      <formula>ISERROR(SEARCH("S",B6))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ggleCutting">
                <anchor moveWithCells="1" sizeWithCells="1">
                  <from>
                    <xdr:col>79</xdr:col>
                    <xdr:colOff>42863</xdr:colOff>
                    <xdr:row>1</xdr:row>
                    <xdr:rowOff>138113</xdr:rowOff>
                  </from>
                  <to>
                    <xdr:col>85</xdr:col>
                    <xdr:colOff>52388</xdr:colOff>
                    <xdr:row>2</xdr:row>
                    <xdr:rowOff>195263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MazeBtnResponse">
                <anchor moveWithCells="1" sizeWithCells="1">
                  <from>
                    <xdr:col>72</xdr:col>
                    <xdr:colOff>161925</xdr:colOff>
                    <xdr:row>1</xdr:row>
                    <xdr:rowOff>176213</xdr:rowOff>
                  </from>
                  <to>
                    <xdr:col>78</xdr:col>
                    <xdr:colOff>80963</xdr:colOff>
                    <xdr:row>2</xdr:row>
                    <xdr:rowOff>195263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oggleTraversing">
                <anchor moveWithCells="1" sizeWithCells="1">
                  <from>
                    <xdr:col>86</xdr:col>
                    <xdr:colOff>23813</xdr:colOff>
                    <xdr:row>2</xdr:row>
                    <xdr:rowOff>223838</xdr:rowOff>
                  </from>
                  <to>
                    <xdr:col>91</xdr:col>
                    <xdr:colOff>152400</xdr:colOff>
                    <xdr:row>2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.GenerateMaze">
                <anchor moveWithCells="1" sizeWithCells="1">
                  <from>
                    <xdr:col>69</xdr:col>
                    <xdr:colOff>519113</xdr:colOff>
                    <xdr:row>22</xdr:row>
                    <xdr:rowOff>142875</xdr:rowOff>
                  </from>
                  <to>
                    <xdr:col>71</xdr:col>
                    <xdr:colOff>485775</xdr:colOff>
                    <xdr:row>25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ToggleTraversing">
                <anchor moveWithCells="1" sizeWithCells="1">
                  <from>
                    <xdr:col>86</xdr:col>
                    <xdr:colOff>100013</xdr:colOff>
                    <xdr:row>1</xdr:row>
                    <xdr:rowOff>100013</xdr:rowOff>
                  </from>
                  <to>
                    <xdr:col>93</xdr:col>
                    <xdr:colOff>19050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1" r:id="rId9" name="Button 6">
              <controlPr defaultSize="0" print="0" autoFill="0" autoPict="0" macro="[0]!TESTPROC">
                <anchor moveWithCells="1" sizeWithCells="1">
                  <from>
                    <xdr:col>70</xdr:col>
                    <xdr:colOff>157163</xdr:colOff>
                    <xdr:row>17</xdr:row>
                    <xdr:rowOff>109538</xdr:rowOff>
                  </from>
                  <to>
                    <xdr:col>71</xdr:col>
                    <xdr:colOff>14288</xdr:colOff>
                    <xdr:row>19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ScareMaze</vt:lpstr>
      <vt:lpstr>BomberMaze</vt:lpstr>
      <vt:lpstr>RPGMaze</vt:lpstr>
      <vt:lpstr>BomberMaze!ConnectionMatrix</vt:lpstr>
      <vt:lpstr>RPGMaze!ConnectionMatrix</vt:lpstr>
      <vt:lpstr>ConnectionMatrix</vt:lpstr>
      <vt:lpstr>ScareMaze!EndCol</vt:lpstr>
      <vt:lpstr>ScareMaze!EndRow</vt:lpstr>
      <vt:lpstr>BomberMaze!MazeEditingIsOn</vt:lpstr>
      <vt:lpstr>RPGMaze!MazeEditingIsOn</vt:lpstr>
      <vt:lpstr>ScareMaze!MazeEditingIsOn</vt:lpstr>
      <vt:lpstr>PreviousCell</vt:lpstr>
      <vt:lpstr>ScareMaze!Print_Area</vt:lpstr>
      <vt:lpstr>ScareMaze!StartCol</vt:lpstr>
      <vt:lpstr>ScareMaze!StartRow</vt:lpstr>
      <vt:lpstr>RPGMaze!TraversingIsOn</vt:lpstr>
      <vt:lpstr>ScareMaze!TraversingIsOn</vt:lpstr>
      <vt:lpstr>TraversingIsOn</vt:lpstr>
      <vt:lpstr>BomberMaze!WholeMaze</vt:lpstr>
      <vt:lpstr>RPGMaze!WholeMaze</vt:lpstr>
      <vt:lpstr>ScareMaze!WholeMaze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Gomez;Derek Wong;Sam Canick;Talin Schell</dc:creator>
  <cp:lastModifiedBy>Derek Wong</cp:lastModifiedBy>
  <cp:lastPrinted>2021-10-02T19:04:00Z</cp:lastPrinted>
  <dcterms:created xsi:type="dcterms:W3CDTF">2006-09-16T00:00:00Z</dcterms:created>
  <dcterms:modified xsi:type="dcterms:W3CDTF">2025-10-17T19:39:49Z</dcterms:modified>
</cp:coreProperties>
</file>